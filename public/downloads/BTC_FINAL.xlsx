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RO DCA" sheetId="1" state="visible" r:id="rId3"/>
    <sheet name="RESUMEN FISCAL" sheetId="2" state="visible" r:id="rId4"/>
    <sheet name="GUIA DE USO" sheetId="3" state="visible" r:id="rId5"/>
    <sheet name="REGISTRO VENT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<sst xmlns="http://schemas.openxmlformats.org/spreadsheetml/2006/main" count="99" uniqueCount="99">
  <si>
    <t xml:space="preserve">₿  TABLERO DE CONTROL — ESTRATEGIA DCA EN BITCOIN</t>
  </si>
  <si>
    <t xml:space="preserve">Dollar Cost Averaging  ·  Seguimiento de Cartera  ·  Análisis de Rendimiento</t>
  </si>
  <si>
    <t xml:space="preserve">💰 PRECIO ACTUAL BTC</t>
  </si>
  <si>
    <t xml:space="preserve">📊 TOTAL INVERTIDO (USDT)</t>
  </si>
  <si>
    <t xml:space="preserve">₿ BTC EN CARTERA</t>
  </si>
  <si>
    <t xml:space="preserve">💵 VALOR ACTUAL (USD)</t>
  </si>
  <si>
    <t xml:space="preserve">📈 RENDIMIENTO TOTAL</t>
  </si>
  <si>
    <t xml:space="preserve">💵 GANANCIA
EN USDT</t>
  </si>
  <si>
    <t xml:space="preserve">↑  Actualiza la celda B5 con el precio actual de BTC para refrescar toda la cartera automáticamente</t>
  </si>
  <si>
    <t xml:space="preserve">📅 FECHA</t>
  </si>
  <si>
    <t xml:space="preserve">💵 INVERSIÓN
MONEDA LOCAL</t>
  </si>
  <si>
    <t xml:space="preserve">💲 EQUIV.
EN USDT</t>
  </si>
  <si>
    <t xml:space="preserve">🔄 TASA
COP→USDT</t>
  </si>
  <si>
    <t xml:space="preserve">₿ PRECIO BTC
AL COMPRAR</t>
  </si>
  <si>
    <t xml:space="preserve">₿ BTC
RECIBIDOS</t>
  </si>
  <si>
    <t xml:space="preserve">💸 COMISIÓN
PLATAFORMA</t>
  </si>
  <si>
    <t xml:space="preserve">📊 INV. NETA
ACUMULADA</t>
  </si>
  <si>
    <t xml:space="preserve">₿ BTC TOTALES
EN CARTERA</t>
  </si>
  <si>
    <t xml:space="preserve">📉 COSTO
PROMEDIO</t>
  </si>
  <si>
    <t xml:space="preserve">💰 VALOR
ACTUAL</t>
  </si>
  <si>
    <t xml:space="preserve">🚦 SEMÁFORO
RENDIMIENTO</t>
  </si>
  <si>
    <t xml:space="preserve">⚠️  Solo actualiza celdas en AZUL (Fecha, Inversión, Precio BTC, Comisión) y B5 (precio actual). Las demás se calculan solas.</t>
  </si>
  <si>
    <t xml:space="preserve">📋  RESUMEN FISCAL ANUAL — BLINDAJE TRIBUTARIO BTC</t>
  </si>
  <si>
    <t xml:space="preserve">Resumen por año para facilitar declaración de activos digitales (Colombia: DIAN / Internacional)</t>
  </si>
  <si>
    <t xml:space="preserve">📅 AÑO</t>
  </si>
  <si>
    <t xml:space="preserve">💵 TOTAL INVERTIDO</t>
  </si>
  <si>
    <t xml:space="preserve">₿ BTC ADQUIRIDOS</t>
  </si>
  <si>
    <t xml:space="preserve">💸 COMISIONES</t>
  </si>
  <si>
    <t xml:space="preserve"># OPERACIONES</t>
  </si>
  <si>
    <t xml:space="preserve">₿ BTC VENDIDOS</t>
  </si>
  <si>
    <t xml:space="preserve">💵 INGRESOS VENTAS</t>
  </si>
  <si>
    <t xml:space="preserve">💰 GANANCIA NETA AÑO</t>
  </si>
  <si>
    <t xml:space="preserve">💵 GANANCIA
NO REALIZADA (USDT)</t>
  </si>
  <si>
    <t xml:space="preserve">📈 ROI
%</t>
  </si>
  <si>
    <t xml:space="preserve">▶  TOTAL</t>
  </si>
  <si>
    <t xml:space="preserve">💡 Tip: Comparte este resumen con tu contador. En Colombia, los activos digitales se declaran como activos en el exterior ante la DIAN.</t>
  </si>
  <si>
    <t xml:space="preserve">📖  GUÍA PASO A PASO — CÓMO USAR EL TABLERO DCA</t>
  </si>
  <si>
    <t xml:space="preserve">🟧  PASO 1 — ACTUALIZAR EL PRECIO ACTUAL</t>
  </si>
  <si>
    <t xml:space="preserve">Precio Actual BTC</t>
  </si>
  <si>
    <t xml:space="preserve">Escribe el precio actual de BTC en esta celda (ej: 65000). Todas las columnas de 'Valor Actual' y 'Rendimiento' se actualizan solas. Actualiza cada vez que quieras revisar tu cartera.</t>
  </si>
  <si>
    <t xml:space="preserve">🟦  PASO 2 — REGISTRAR CADA COMPRA (Columnas en AZUL)</t>
  </si>
  <si>
    <t xml:space="preserve">Fecha</t>
  </si>
  <si>
    <t xml:space="preserve">Escribe la fecha de la compra. Formato: DD/MM/AAAA. Ejemplo: 15/03/2024.</t>
  </si>
  <si>
    <t xml:space="preserve">Inversión COP/USD</t>
  </si>
  <si>
    <t xml:space="preserve">Cuánto dinero invertiste en total (incluyendo comisión). Ejemplo: 200.000 COP.</t>
  </si>
  <si>
    <t xml:space="preserve">Precio BTC al comprar</t>
  </si>
  <si>
    <t xml:space="preserve">El precio del BTC en el momento exacto de tu compra. Cópialo de Binance, Buda, etc.</t>
  </si>
  <si>
    <t xml:space="preserve">Comisión</t>
  </si>
  <si>
    <t xml:space="preserve">La comisión cobrada por la plataforma. Si no hay, escribe 0.</t>
  </si>
  <si>
    <t xml:space="preserve">🟩  COLUMNAS AUTOMÁTICAS (¡No tocar! — Son fórmulas)</t>
  </si>
  <si>
    <t xml:space="preserve">BTC Recibidos</t>
  </si>
  <si>
    <t xml:space="preserve">Fórmula: (Inversión − Comisión) ÷ Precio BTC. Resultado en 8 decimales (satoshis).</t>
  </si>
  <si>
    <t xml:space="preserve">Inv. Neta Acumulada</t>
  </si>
  <si>
    <t xml:space="preserve">Suma creciente de todo lo invertido. Te dice cuánto dinero real llevas puesto.</t>
  </si>
  <si>
    <t xml:space="preserve">BTC Totales en Cartera</t>
  </si>
  <si>
    <t xml:space="preserve">Suma creciente de todos tus BTC. Tu patrimonio en BTC.</t>
  </si>
  <si>
    <t xml:space="preserve">Costo Promedio</t>
  </si>
  <si>
    <t xml:space="preserve">Tu precio promedio ponderado de compra. Es el indicador más importante del DCA.</t>
  </si>
  <si>
    <t xml:space="preserve">Valor Actual de Cartera</t>
  </si>
  <si>
    <t xml:space="preserve">BTC Totales × Precio Actual (celda B5). Se actualiza cuando cambias B5.</t>
  </si>
  <si>
    <t xml:space="preserve">Semáforo de Rendimiento</t>
  </si>
  <si>
    <t xml:space="preserve">Se colorea automáticamente según tu ganancia o pérdida:</t>
  </si>
  <si>
    <t xml:space="preserve">  🟢 TAKE PROFIT</t>
  </si>
  <si>
    <t xml:space="preserve">Tu ganancia supera el +30%. El precio actual está muy por encima de tu costo promedio. Considera tomar ganancias parciales.</t>
  </si>
  <si>
    <t xml:space="preserve">  🟡 ZONA DCA</t>
  </si>
  <si>
    <t xml:space="preserve">Estás en pérdida mayor al -10%. El mercado está bajo. ¡Oportunidad de acumular más BTC a menor precio!</t>
  </si>
  <si>
    <t xml:space="preserve">  🔵 HOLDING</t>
  </si>
  <si>
    <t xml:space="preserve">Rendimiento entre -10% y +30%. Mantén tu estrategia. El DCA está funcionando.</t>
  </si>
  <si>
    <t xml:space="preserve">📋  PESTAÑA RESUMEN FISCAL</t>
  </si>
  <si>
    <t xml:space="preserve">Resumen Fiscal Anual</t>
  </si>
  <si>
    <t xml:space="preserve">Muestra el total invertido, BTC adquiridos y comisiones por año. Ideal para entregar a tu contador o para la declaración de activos ante la DIAN en Colombia.</t>
  </si>
  <si>
    <t xml:space="preserve">💡  CONSEJOS DCA PARA PRINCIPIANTES</t>
  </si>
  <si>
    <t xml:space="preserve">Compra periódica</t>
  </si>
  <si>
    <t xml:space="preserve">Compra BTC cada semana, quincena o mes. La clave es la constancia, no el monto.</t>
  </si>
  <si>
    <t xml:space="preserve">No mires el precio diario</t>
  </si>
  <si>
    <t xml:space="preserve">El DCA funciona a largo plazo. Revisa tu tablero máximo 1 vez por semana.</t>
  </si>
  <si>
    <t xml:space="preserve">Dónde comprar en Colombia</t>
  </si>
  <si>
    <t xml:space="preserve">Buda.com, Bitso, Binance P2P. Siempre registra la comisión exacta.</t>
  </si>
  <si>
    <t xml:space="preserve">Custodia de tus BTC</t>
  </si>
  <si>
    <t xml:space="preserve">Para montos grandes, considera moverlos a una billetera fría (hardware wallet).</t>
  </si>
  <si>
    <t xml:space="preserve">📤  REGISTRO DE VENTAS — HISTORIAL DE TAKE PROFIT</t>
  </si>
  <si>
    <t xml:space="preserve">Registra cada venta para calcular tu ganancia realizada y controlar tu posición neta</t>
  </si>
  <si>
    <t xml:space="preserve">₿ BTC VENDIDOS TOTAL</t>
  </si>
  <si>
    <t xml:space="preserve">💵 INGRESOS TOTALES (USD)</t>
  </si>
  <si>
    <t xml:space="preserve">💰 GANANCIA REALIZADA</t>
  </si>
  <si>
    <t xml:space="preserve">📊 ROI PROMEDIO POR VENTA</t>
  </si>
  <si>
    <t xml:space="preserve">₿ BTC AÚN EN CARTERA</t>
  </si>
  <si>
    <t xml:space="preserve">↑  Registra cada venta aquí. El campo 'Ganancia' se calcula automáticamente usando tu Costo Promedio del Tablero DCA</t>
  </si>
  <si>
    <t xml:space="preserve">📅 FECHA
VENTA</t>
  </si>
  <si>
    <t xml:space="preserve">🔢 # ORDEN /
PLATAFORMA</t>
  </si>
  <si>
    <t xml:space="preserve">₿ BTC
VENDIDOS</t>
  </si>
  <si>
    <t xml:space="preserve">₿ PRECIO BTC
AL VENDER</t>
  </si>
  <si>
    <t xml:space="preserve">💵 TOTAL
RECIBIDO USD</t>
  </si>
  <si>
    <t xml:space="preserve">💸 COMISIÓN
VENTA</t>
  </si>
  <si>
    <t xml:space="preserve">📉 COSTO BASE
(Precio Promedio DCA)</t>
  </si>
  <si>
    <t xml:space="preserve">💰 GANANCIA
BRUTA USD</t>
  </si>
  <si>
    <t xml:space="preserve">💰 GANANCIA
NETA USD</t>
  </si>
  <si>
    <t xml:space="preserve">📈 ROI
ESTA VENTA</t>
  </si>
  <si>
    <t xml:space="preserve">💡 El 'Costo Base' se toma automáticamente del costo promedio actual en tu Tablero DCA. Registra las ventas cronológicamente para mayor precisión.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</si>
</sst>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"/>
    <numFmt numFmtId="166" formatCode="0.00000000"/>
    <numFmt numFmtId="167" formatCode="0.00%"/>
    <numFmt numFmtId="168" formatCode="dd/mm/yyyy"/>
    <numFmt numFmtId="169" formatCode="#,##0.00"/>
    <numFmt numFmtId="170" formatCode="General"/>
    <numFmt numFmtId="171" formatCode="\$#,##0.00"/>
  </numFmts>
  <fonts count="4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7931A"/>
      <name val="Arial"/>
      <family val="0"/>
      <charset val="1"/>
    </font>
    <font>
      <i val="true"/>
      <sz val="10"/>
      <color rgb="FF8B949E"/>
      <name val="Arial"/>
      <family val="0"/>
      <charset val="1"/>
    </font>
    <font>
      <sz val="9"/>
      <color rgb="FF8B949E"/>
      <name val="Arial"/>
      <family val="0"/>
      <charset val="1"/>
    </font>
    <font>
      <b val="true"/>
      <sz val="15"/>
      <color rgb="FFF7931A"/>
      <name val="Arial"/>
      <family val="0"/>
      <charset val="1"/>
    </font>
    <font>
      <b val="true"/>
      <sz val="14"/>
      <color rgb="FFF0F6FC"/>
      <name val="Arial"/>
      <family val="0"/>
      <charset val="1"/>
    </font>
    <font>
      <b val="true"/>
      <sz val="14"/>
      <color rgb="FF22C55E"/>
      <name val="Arial"/>
      <family val="0"/>
      <charset val="1"/>
    </font>
    <font>
      <b val="true"/>
      <sz val="15"/>
      <color rgb="FF22C55E"/>
      <name val="Arial"/>
      <family val="0"/>
      <charset val="1"/>
    </font>
    <font>
      <i val="true"/>
      <sz val="9"/>
      <color rgb="FFF59E0B"/>
      <name val="Arial"/>
      <family val="0"/>
      <charset val="1"/>
    </font>
    <font>
      <b val="true"/>
      <sz val="9"/>
      <color rgb="FFF7931A"/>
      <name val="Arial"/>
      <family val="0"/>
      <charset val="1"/>
    </font>
    <font>
      <sz val="10"/>
      <color rgb="FFF0F6FC"/>
      <name val="Arial"/>
      <family val="0"/>
      <charset val="1"/>
    </font>
    <font>
      <b val="true"/>
      <sz val="10"/>
      <color rgb="FF3B82F6"/>
      <name val="Arial"/>
      <family val="0"/>
      <charset val="1"/>
    </font>
    <font>
      <b val="true"/>
      <sz val="10"/>
      <color rgb="FFA855F7"/>
      <name val="Arial"/>
      <family val="0"/>
      <charset val="1"/>
    </font>
    <font>
      <sz val="10"/>
      <color rgb="FFF59E0B"/>
      <name val="Arial"/>
      <family val="0"/>
      <charset val="1"/>
    </font>
    <font>
      <sz val="10"/>
      <color rgb="FF22C55E"/>
      <name val="Arial"/>
      <family val="0"/>
      <charset val="1"/>
    </font>
    <font>
      <b val="true"/>
      <sz val="10"/>
      <color rgb="FFF0F6FC"/>
      <name val="Arial"/>
      <family val="0"/>
      <charset val="1"/>
    </font>
    <font>
      <b val="true"/>
      <sz val="10"/>
      <color rgb="FFF7931A"/>
      <name val="Arial"/>
      <family val="0"/>
      <charset val="1"/>
    </font>
    <font>
      <b val="true"/>
      <sz val="9"/>
      <color rgb="FFF0F6FC"/>
      <name val="Arial"/>
      <family val="0"/>
      <charset val="1"/>
    </font>
    <font>
      <i val="true"/>
      <sz val="8"/>
      <color rgb="FF8B949E"/>
      <name val="Arial"/>
      <family val="0"/>
      <charset val="1"/>
    </font>
    <font>
      <b val="true"/>
      <sz val="17"/>
      <color rgb="FF22C55E"/>
      <name val="Arial"/>
      <family val="0"/>
      <charset val="1"/>
    </font>
    <font>
      <b val="true"/>
      <sz val="10"/>
      <color rgb="FFEF4444"/>
      <name val="Arial"/>
      <family val="0"/>
      <charset val="1"/>
    </font>
    <font>
      <b val="true"/>
      <sz val="12"/>
      <color rgb="FFF7931A"/>
      <name val="Arial"/>
      <family val="0"/>
      <charset val="1"/>
    </font>
    <font>
      <b val="true"/>
      <sz val="11"/>
      <color rgb="FF3B82F6"/>
      <name val="Arial"/>
      <family val="0"/>
      <charset val="1"/>
    </font>
    <font>
      <b val="true"/>
      <sz val="11"/>
      <color rgb="FF22C55E"/>
      <name val="Arial"/>
      <family val="0"/>
      <charset val="1"/>
    </font>
    <font>
      <sz val="11"/>
      <color rgb="FFF59E0B"/>
      <name val="Arial"/>
      <family val="0"/>
      <charset val="1"/>
    </font>
    <font>
      <sz val="11"/>
      <color rgb="FFF0F6FC"/>
      <name val="Arial"/>
      <family val="0"/>
      <charset val="1"/>
    </font>
    <font>
      <sz val="11"/>
      <color rgb="FFF7931A"/>
      <name val="Arial"/>
      <family val="0"/>
      <charset val="1"/>
    </font>
    <font>
      <sz val="11"/>
      <color rgb="FF22C55E"/>
      <name val="Arial"/>
      <family val="0"/>
      <charset val="1"/>
    </font>
    <font>
      <b val="true"/>
      <sz val="12"/>
      <color rgb="FF3B82F6"/>
      <name val="Arial"/>
      <family val="0"/>
      <charset val="1"/>
    </font>
    <font>
      <b val="true"/>
      <sz val="12"/>
      <color rgb="FF22C55E"/>
      <name val="Arial"/>
      <family val="0"/>
      <charset val="1"/>
    </font>
    <font>
      <b val="true"/>
      <sz val="12"/>
      <color rgb="FFF59E0B"/>
      <name val="Arial"/>
      <family val="0"/>
      <charset val="1"/>
    </font>
    <font>
      <b val="true"/>
      <sz val="12"/>
      <color rgb="FFF0F6FC"/>
      <name val="Arial"/>
      <family val="0"/>
      <charset val="1"/>
    </font>
    <font>
      <i val="true"/>
      <sz val="9"/>
      <color rgb="FF8B949E"/>
      <name val="Arial"/>
      <family val="0"/>
      <charset val="1"/>
    </font>
    <font>
      <b val="true"/>
      <sz val="17"/>
      <color rgb="FF3B82F6"/>
      <name val="Arial"/>
      <family val="0"/>
      <charset val="1"/>
    </font>
    <font>
      <b val="true"/>
      <sz val="11"/>
      <color rgb="FFF7931A"/>
      <name val="Arial"/>
      <family val="0"/>
      <charset val="1"/>
    </font>
    <font>
      <b val="true"/>
      <sz val="9"/>
      <color rgb="FF3B82F6"/>
      <name val="Arial"/>
      <family val="0"/>
      <charset val="1"/>
    </font>
    <font>
      <sz val="9"/>
      <color rgb="FFF0F6FC"/>
      <name val="Arial"/>
      <family val="0"/>
      <charset val="1"/>
    </font>
    <font>
      <b val="true"/>
      <sz val="20"/>
      <color rgb="FF00FF00"/>
      <name val="Arial"/>
      <family val="0"/>
      <charset val="1"/>
    </font>
    <font>
      <b val="true"/>
      <sz val="14"/>
      <color rgb="FFF7931A"/>
      <name val="Arial"/>
      <family val="0"/>
      <charset val="1"/>
    </font>
    <font>
      <b val="true"/>
      <sz val="9"/>
      <color rgb="FF93C47D"/>
      <name val="Arial"/>
      <family val="0"/>
      <charset val="1"/>
    </font>
    <font>
      <sz val="10"/>
      <color rgb="FF8B949E"/>
      <name val="Arial"/>
      <family val="0"/>
      <charset val="1"/>
    </font>
    <font>
      <b val="true"/>
      <sz val="10"/>
      <color rgb="FF22C55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theme="1"/>
        <bgColor rgb="FF0D1117"/>
      </patternFill>
    </fill>
    <fill>
      <patternFill patternType="solid">
        <fgColor rgb="FF161B22"/>
        <bgColor rgb="FF1A2233"/>
      </patternFill>
    </fill>
    <fill>
      <patternFill patternType="solid">
        <fgColor rgb="FF434343"/>
        <bgColor rgb="FF444444"/>
      </patternFill>
    </fill>
    <fill>
      <patternFill patternType="solid">
        <fgColor rgb="FF1F2937"/>
        <bgColor rgb="FF1A2233"/>
      </patternFill>
    </fill>
    <fill>
      <patternFill patternType="solid">
        <fgColor rgb="FF1A2233"/>
        <bgColor rgb="FF1F2937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 style="thin">
        <color rgb="FF30363D"/>
      </top>
      <bottom style="thin">
        <color rgb="FF30363D"/>
      </bottom>
      <diagonal/>
    </border>
    <border diagonalUp="false" diagonalDown="false">
      <left style="medium">
        <color rgb="FFF7931A"/>
      </left>
      <right/>
      <top style="thin">
        <color rgb="FF30363D"/>
      </top>
      <bottom style="thin">
        <color rgb="FF30363D"/>
      </bottom>
      <diagonal/>
    </border>
    <border diagonalUp="false" diagonalDown="false"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 diagonalUp="false" diagonalDown="false"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 diagonalUp="false" diagonalDown="false">
      <left style="medium">
        <color rgb="FFF7931A"/>
      </left>
      <right/>
      <top style="thin">
        <color rgb="FF30363D"/>
      </top>
      <bottom style="medium">
        <color rgb="FFF7931A"/>
      </bottom>
      <diagonal/>
    </border>
    <border diagonalUp="false" diagonalDown="false">
      <left style="medium">
        <color rgb="FFEF4444"/>
      </left>
      <right/>
      <top style="thin">
        <color rgb="FF30363D"/>
      </top>
      <bottom style="thin">
        <color rgb="FF3036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9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6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1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3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4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1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4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22C55E"/>
        <sz val="9"/>
      </font>
      <fill>
        <patternFill>
          <bgColor rgb="FF14532D"/>
        </patternFill>
      </fill>
    </dxf>
    <dxf>
      <font>
        <name val="Arial"/>
        <charset val="1"/>
        <family val="0"/>
        <b val="1"/>
        <color rgb="FFF59E0B"/>
        <sz val="9"/>
      </font>
      <fill>
        <patternFill>
          <bgColor rgb="FF422006"/>
        </patternFill>
      </fill>
    </dxf>
    <dxf>
      <font>
        <name val="Arial"/>
        <charset val="1"/>
        <family val="0"/>
        <b val="1"/>
        <color rgb="FF3B82F6"/>
        <sz val="9"/>
      </font>
      <fill>
        <patternFill>
          <bgColor rgb="FF1E3A5F"/>
        </patternFill>
      </fill>
    </dxf>
    <dxf>
      <font>
        <name val="Arial"/>
        <charset val="1"/>
        <family val="0"/>
        <b val="1"/>
        <color rgb="FF22C55E"/>
        <sz val="11"/>
      </font>
      <fill>
        <patternFill>
          <bgColor rgb="FF14532D"/>
        </patternFill>
      </fill>
    </dxf>
    <dxf>
      <font>
        <name val="Arial"/>
        <charset val="1"/>
        <family val="0"/>
        <b val="1"/>
        <color rgb="FFEF4444"/>
        <sz val="9"/>
      </font>
      <fill>
        <patternFill>
          <bgColor rgb="FF3B0A0A"/>
        </patternFill>
      </fill>
    </dxf>
    <dxf>
      <font>
        <name val="Arial"/>
        <charset val="1"/>
        <family val="0"/>
        <b val="1"/>
        <color rgb="FF22C55E"/>
        <sz val="10"/>
      </font>
      <fill>
        <patternFill>
          <bgColor rgb="FF14532D"/>
        </patternFill>
      </fill>
    </dxf>
    <dxf>
      <font>
        <name val="Arial"/>
        <charset val="1"/>
        <family val="0"/>
        <b val="1"/>
        <color rgb="FFEF4444"/>
        <sz val="10"/>
      </font>
      <fill>
        <patternFill>
          <bgColor rgb="FF3B0A0A"/>
        </patternFill>
      </fill>
    </dxf>
  </dxfs>
  <colors>
    <indexedColors>
      <rgbColor rgb="FF000000"/>
      <rgbColor rgb="FFF0F6FC"/>
      <rgbColor rgb="FFFF0000"/>
      <rgbColor rgb="FF00FF00"/>
      <rgbColor rgb="FF0000FF"/>
      <rgbColor rgb="FFFFFF00"/>
      <rgbColor rgb="FFFF00FF"/>
      <rgbColor rgb="FF00FFFF"/>
      <rgbColor rgb="FF3B0A0A"/>
      <rgbColor rgb="FF14532D"/>
      <rgbColor rgb="FF0D1117"/>
      <rgbColor rgb="FF808000"/>
      <rgbColor rgb="FF800080"/>
      <rgbColor rgb="FF008080"/>
      <rgbColor rgb="FF93C47D"/>
      <rgbColor rgb="FF808080"/>
      <rgbColor rgb="FFA855F7"/>
      <rgbColor rgb="FF993366"/>
      <rgbColor rgb="FFFFFFCC"/>
      <rgbColor rgb="FFCCFFFF"/>
      <rgbColor rgb="FF1F2937"/>
      <rgbColor rgb="FFF7931A"/>
      <rgbColor rgb="FF0066CC"/>
      <rgbColor rgb="FFCCCCFF"/>
      <rgbColor rgb="FF1A2233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F59E0B"/>
      <rgbColor rgb="FFEF4444"/>
      <rgbColor rgb="FF444444"/>
      <rgbColor rgb="FF8B949E"/>
      <rgbColor rgb="FF1E3A5F"/>
      <rgbColor rgb="FF22C55E"/>
      <rgbColor rgb="FF161B22"/>
      <rgbColor rgb="FF422006"/>
      <rgbColor rgb="FF993300"/>
      <rgbColor rgb="FF993366"/>
      <rgbColor rgb="FF434343"/>
      <rgbColor rgb="FF3036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1</xdr:row>
      <xdr:rowOff>0</xdr:rowOff>
    </xdr:from>
    <xdr:to>
      <xdr:col>12</xdr:col>
      <xdr:colOff>608760</xdr:colOff>
      <xdr:row>1</xdr:row>
      <xdr:rowOff>608760</xdr:rowOff>
    </xdr:to>
    <xdr:pic>
      <xdr:nvPicPr>
        <xdr:cNvPr id="0" name="image1.jpg" descr=""/>
        <xdr:cNvPicPr/>
      </xdr:nvPicPr>
      <xdr:blipFill>
        <a:blip r:embed="rId1"/>
        <a:stretch/>
      </xdr:blipFill>
      <xdr:spPr>
        <a:xfrm>
          <a:off x="14872320" y="314280"/>
          <a:ext cx="608760" cy="608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7931A"/>
    <pageSetUpPr fitToPage="false"/>
  </sheetPr>
  <dimension ref="A1:O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4" min="3" style="1" width="18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20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0" min="10" style="1" width="20"/>
    <col collapsed="false" customWidth="true" hidden="false" outlineLevel="0" max="11" min="11" style="1" width="22"/>
    <col collapsed="false" customWidth="true" hidden="false" outlineLevel="0" max="12" min="12" style="1" width="24"/>
    <col collapsed="false" customWidth="true" hidden="false" outlineLevel="0" max="13" min="13" style="1" width="30"/>
    <col collapsed="false" customWidth="true" hidden="false" outlineLevel="0" max="14" min="14" style="1" width="3"/>
    <col collapsed="false" customWidth="true" hidden="false" outlineLevel="0" max="26" min="15" style="1" width="8.71"/>
  </cols>
  <sheetData>
    <row r="1" customFormat="false" ht="24.75" hidden="false" customHeight="true" outlineLevel="0" collapsed="false">
      <c r="A1" s="2"/>
      <c r="B1" s="2"/>
      <c r="C1" s="3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</row>
    <row r="2" customFormat="false" ht="48" hidden="false" customHeight="true" outlineLevel="0" collapsed="false">
      <c r="A2" s="2"/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5"/>
      <c r="M2" s="6"/>
      <c r="N2" s="2"/>
      <c r="O2" s="2"/>
    </row>
    <row r="3" customFormat="false" ht="13.5" hidden="false" customHeight="true" outlineLevel="0" collapsed="false">
      <c r="A3" s="2"/>
      <c r="B3" s="7" t="s">
        <v>1</v>
      </c>
      <c r="C3" s="7"/>
      <c r="D3" s="7"/>
      <c r="E3" s="7"/>
      <c r="F3" s="7"/>
      <c r="G3" s="7"/>
      <c r="H3" s="7"/>
      <c r="I3" s="7"/>
      <c r="J3" s="7"/>
      <c r="K3" s="7"/>
      <c r="L3" s="8"/>
      <c r="M3" s="6"/>
      <c r="N3" s="2"/>
      <c r="O3" s="2"/>
    </row>
    <row r="4" customFormat="false" ht="27.75" hidden="false" customHeight="true" outlineLevel="0" collapsed="false">
      <c r="A4" s="2"/>
      <c r="B4" s="9" t="s">
        <v>2</v>
      </c>
      <c r="C4" s="9"/>
      <c r="D4" s="10" t="s">
        <v>3</v>
      </c>
      <c r="E4" s="10"/>
      <c r="F4" s="9" t="s">
        <v>4</v>
      </c>
      <c r="G4" s="9"/>
      <c r="H4" s="9" t="s">
        <v>5</v>
      </c>
      <c r="I4" s="9"/>
      <c r="J4" s="9" t="s">
        <v>6</v>
      </c>
      <c r="K4" s="9"/>
      <c r="L4" s="9" t="s">
        <v>7</v>
      </c>
      <c r="M4" s="6"/>
      <c r="N4" s="2"/>
      <c r="O4" s="2"/>
    </row>
    <row r="5" customFormat="false" ht="36" hidden="false" customHeight="true" outlineLevel="0" collapsed="false">
      <c r="A5" s="2"/>
      <c r="B5" s="11" t="n">
        <v>110000</v>
      </c>
      <c r="C5" s="11"/>
      <c r="D5" s="12" t="n">
        <f aca="false">IFERROR(SUM(D8:D107),0)</f>
        <v>4326.56603810894</v>
      </c>
      <c r="E5" s="12"/>
      <c r="F5" s="13" t="n">
        <f aca="false">IFERROR(SUM(G8:G107),0)</f>
        <v>0.0673165368968881</v>
      </c>
      <c r="G5" s="13"/>
      <c r="H5" s="14" t="n">
        <f aca="false">IFERROR(SUM(G8:G107)*B5,0)</f>
        <v>7404.81905865769</v>
      </c>
      <c r="I5" s="14"/>
      <c r="J5" s="15" t="n">
        <f aca="false">IFERROR((H5-D5)/D5,0)</f>
        <v>0.711477183853226</v>
      </c>
      <c r="K5" s="15"/>
      <c r="L5" s="16" t="n">
        <f aca="false">IFERROR(H5-D5,0)</f>
        <v>3078.25302054876</v>
      </c>
      <c r="M5" s="6"/>
      <c r="N5" s="2"/>
      <c r="O5" s="2"/>
    </row>
    <row r="6" customFormat="false" ht="21.75" hidden="false" customHeight="true" outlineLevel="0" collapsed="false">
      <c r="A6" s="2"/>
      <c r="B6" s="17" t="s">
        <v>8</v>
      </c>
      <c r="C6" s="17"/>
      <c r="D6" s="17"/>
      <c r="E6" s="17"/>
      <c r="F6" s="17"/>
      <c r="G6" s="17"/>
      <c r="H6" s="17"/>
      <c r="I6" s="17"/>
      <c r="J6" s="17"/>
      <c r="K6" s="17"/>
      <c r="L6" s="18"/>
      <c r="M6" s="6"/>
      <c r="N6" s="2"/>
      <c r="O6" s="2"/>
    </row>
    <row r="7" customFormat="false" ht="33.75" hidden="false" customHeight="true" outlineLevel="0" collapsed="false">
      <c r="A7" s="2"/>
      <c r="B7" s="19" t="s">
        <v>9</v>
      </c>
      <c r="C7" s="19" t="s">
        <v>10</v>
      </c>
      <c r="D7" s="19" t="s">
        <v>11</v>
      </c>
      <c r="E7" s="19" t="s">
        <v>12</v>
      </c>
      <c r="F7" s="19" t="s">
        <v>13</v>
      </c>
      <c r="G7" s="19" t="s">
        <v>14</v>
      </c>
      <c r="H7" s="19" t="s">
        <v>15</v>
      </c>
      <c r="I7" s="19" t="s">
        <v>16</v>
      </c>
      <c r="J7" s="19" t="s">
        <v>17</v>
      </c>
      <c r="K7" s="19" t="s">
        <v>18</v>
      </c>
      <c r="L7" s="19" t="s">
        <v>19</v>
      </c>
      <c r="M7" s="19" t="s">
        <v>20</v>
      </c>
      <c r="N7" s="2"/>
      <c r="O7" s="2"/>
    </row>
    <row r="8" customFormat="false" ht="21.75" hidden="false" customHeight="true" outlineLevel="0" collapsed="false">
      <c r="A8" s="2"/>
      <c r="B8" s="20" t="n">
        <v>46145</v>
      </c>
      <c r="C8" s="21" t="n">
        <v>100000</v>
      </c>
      <c r="D8" s="22" t="n">
        <f aca="false">C8/E8</f>
        <v>27.7777777777778</v>
      </c>
      <c r="E8" s="23" t="n">
        <v>3600</v>
      </c>
      <c r="F8" s="24" t="n">
        <v>77000</v>
      </c>
      <c r="G8" s="25" t="n">
        <f aca="false">IFERROR(IF(D8="","",((D8-H8)/F8)),"")</f>
        <v>0.000360750360750361</v>
      </c>
      <c r="H8" s="26"/>
      <c r="I8" s="27" t="n">
        <f aca="false">IFERROR(IF(D8="","",SUM($D$8:D8)),"")</f>
        <v>27.7777777777778</v>
      </c>
      <c r="J8" s="28" t="n">
        <f aca="false">IFERROR(IF(G8="","",SUM($G$8:G8)),"")</f>
        <v>0.000360750360750361</v>
      </c>
      <c r="K8" s="24" t="n">
        <f aca="false">IFERROR(IF(J8="","",I8/J8),"")</f>
        <v>77000</v>
      </c>
      <c r="L8" s="27" t="n">
        <f aca="false">IFERROR(IF(J8="","",J8*$B$5),"")</f>
        <v>39.6825396825397</v>
      </c>
      <c r="M8" s="29" t="str">
        <f aca="false">IFERROR(IF(I8="","",IF((L8-I8)/I8&gt;0.3,"🟢 TAKE PROFIT  +"&amp;TEXT((L8-I8)/I8,"0.0%")&amp;"  — VENDE PARCIAL",IF((L8-I8)/I8&lt;-0.1,"🟡 "&amp;TEXT((L8-I8)/I8,"0.0%")&amp;"  — ZONA DCA  ACUMULA","🔵 "&amp;TEXT((L8-I8)/I8,"0.0%")&amp;"  — HOLDING  MANTÉN"))),"")</f>
        <v>🟢 TAKE PROFIT  +42.9%  — VENDE PARCIAL</v>
      </c>
      <c r="N8" s="2"/>
      <c r="O8" s="2"/>
    </row>
    <row r="9" customFormat="false" ht="21.75" hidden="false" customHeight="true" outlineLevel="0" collapsed="false">
      <c r="A9" s="2"/>
      <c r="B9" s="20" t="n">
        <v>46146</v>
      </c>
      <c r="C9" s="30" t="n">
        <v>10000000</v>
      </c>
      <c r="D9" s="22" t="n">
        <f aca="false">C9/E9</f>
        <v>2631.57894736842</v>
      </c>
      <c r="E9" s="31" t="n">
        <v>3800</v>
      </c>
      <c r="F9" s="32" t="n">
        <v>65000</v>
      </c>
      <c r="G9" s="33" t="n">
        <f aca="false">IFERROR(IF(D9="","",((D9-H9)/F9)),"")</f>
        <v>0.0404858299595142</v>
      </c>
      <c r="H9" s="26"/>
      <c r="I9" s="34" t="n">
        <f aca="false">IFERROR(IF(D9="","",SUM($D$8:D9)),"")</f>
        <v>2659.3567251462</v>
      </c>
      <c r="J9" s="35" t="n">
        <f aca="false">IFERROR(IF(G9="","",SUM($G$8:G9)),"")</f>
        <v>0.0408465803202645</v>
      </c>
      <c r="K9" s="32" t="n">
        <f aca="false">IFERROR(IF(J9="","",I9/J9),"")</f>
        <v>65105.9820502735</v>
      </c>
      <c r="L9" s="34" t="n">
        <f aca="false">IFERROR(IF(J9="","",J9*$B$5),"")</f>
        <v>4493.1238352291</v>
      </c>
      <c r="M9" s="36" t="str">
        <f aca="false">IFERROR(IF(I9="","",IF((L9-I9)/I9&gt;0.3,"🟢 TAKE PROFIT  +"&amp;TEXT((L9-I9)/I9,"0.0%")&amp;"  — VENDE PARCIAL",IF((L9-I9)/I9&lt;-0.1,"🟡 "&amp;TEXT((L9-I9)/I9,"0.0%")&amp;"  — ZONA DCA  ACUMULA","🔵 "&amp;TEXT((L9-I9)/I9,"0.0%")&amp;"  — HOLDING  MANTÉN"))),"")</f>
        <v>🟢 TAKE PROFIT  +69.0%  — VENDE PARCIAL</v>
      </c>
      <c r="N9" s="2"/>
      <c r="O9" s="2"/>
    </row>
    <row r="10" customFormat="false" ht="21.75" hidden="false" customHeight="true" outlineLevel="0" collapsed="false">
      <c r="A10" s="2"/>
      <c r="B10" s="20" t="n">
        <v>46147</v>
      </c>
      <c r="C10" s="30" t="n">
        <v>1000000</v>
      </c>
      <c r="D10" s="22" t="n">
        <f aca="false">C10/E10</f>
        <v>270.27027027027</v>
      </c>
      <c r="E10" s="23" t="n">
        <v>3700</v>
      </c>
      <c r="F10" s="24" t="n">
        <v>60000</v>
      </c>
      <c r="G10" s="25" t="n">
        <f aca="false">IFERROR(IF(D10="","",((D10-H10)/F10)),"")</f>
        <v>0.0045045045045045</v>
      </c>
      <c r="H10" s="26"/>
      <c r="I10" s="27" t="n">
        <f aca="false">IFERROR(IF(D10="","",SUM($D$8:D10)),"")</f>
        <v>2929.62699541647</v>
      </c>
      <c r="J10" s="28" t="n">
        <f aca="false">IFERROR(IF(G10="","",SUM($G$8:G10)),"")</f>
        <v>0.045351084824769</v>
      </c>
      <c r="K10" s="24" t="n">
        <f aca="false">IFERROR(IF(J10="","",I10/J10),"")</f>
        <v>64598.8294819448</v>
      </c>
      <c r="L10" s="27" t="n">
        <f aca="false">IFERROR(IF(J10="","",J10*$B$5),"")</f>
        <v>4988.61933072459</v>
      </c>
      <c r="M10" s="29" t="str">
        <f aca="false">IFERROR(IF(I10="","",IF((L10-I10)/I10&gt;0.3,"🟢 TAKE PROFIT  +"&amp;TEXT((L10-I10)/I10,"0.0%")&amp;"  — VENDE PARCIAL",IF((L10-I10)/I10&lt;-0.1,"🟡 "&amp;TEXT((L10-I10)/I10,"0.0%")&amp;"  — ZONA DCA  ACUMULA","🔵 "&amp;TEXT((L10-I10)/I10,"0.0%")&amp;"  — HOLDING  MANTÉN"))),"")</f>
        <v>🟢 TAKE PROFIT  +70.3%  — VENDE PARCIAL</v>
      </c>
      <c r="N10" s="2"/>
      <c r="O10" s="2"/>
    </row>
    <row r="11" customFormat="false" ht="21.75" hidden="false" customHeight="true" outlineLevel="0" collapsed="false">
      <c r="A11" s="2"/>
      <c r="B11" s="20" t="n">
        <v>46148</v>
      </c>
      <c r="C11" s="30" t="n">
        <v>500000</v>
      </c>
      <c r="D11" s="22" t="n">
        <f aca="false">C11/E11</f>
        <v>128.205128205128</v>
      </c>
      <c r="E11" s="31" t="n">
        <v>3900</v>
      </c>
      <c r="F11" s="32" t="n">
        <v>62000</v>
      </c>
      <c r="G11" s="33" t="n">
        <f aca="false">IFERROR(IF(D11="","",((D11-H11)/F11)),"")</f>
        <v>0.00206782464846981</v>
      </c>
      <c r="H11" s="26"/>
      <c r="I11" s="34" t="n">
        <f aca="false">IFERROR(IF(D11="","",SUM($D$8:D11)),"")</f>
        <v>3057.8321236216</v>
      </c>
      <c r="J11" s="35" t="n">
        <f aca="false">IFERROR(IF(G11="","",SUM($G$8:G11)),"")</f>
        <v>0.0474189094732388</v>
      </c>
      <c r="K11" s="32" t="n">
        <f aca="false">IFERROR(IF(J11="","",I11/J11),"")</f>
        <v>64485.5007757465</v>
      </c>
      <c r="L11" s="34" t="n">
        <f aca="false">IFERROR(IF(J11="","",J11*$B$5),"")</f>
        <v>5216.08004205627</v>
      </c>
      <c r="M11" s="36" t="str">
        <f aca="false">IFERROR(IF(I11="","",IF((L11-I11)/I11&gt;0.3,"🟢 TAKE PROFIT  +"&amp;TEXT((L11-I11)/I11,"0.0%")&amp;"  — VENDE PARCIAL",IF((L11-I11)/I11&lt;-0.1,"🟡 "&amp;TEXT((L11-I11)/I11,"0.0%")&amp;"  — ZONA DCA  ACUMULA","🔵 "&amp;TEXT((L11-I11)/I11,"0.0%")&amp;"  — HOLDING  MANTÉN"))),"")</f>
        <v>🟢 TAKE PROFIT  +70.6%  — VENDE PARCIAL</v>
      </c>
      <c r="N11" s="2"/>
      <c r="O11" s="2"/>
    </row>
    <row r="12" customFormat="false" ht="21.75" hidden="false" customHeight="true" outlineLevel="0" collapsed="false">
      <c r="A12" s="2"/>
      <c r="B12" s="20" t="n">
        <v>46149</v>
      </c>
      <c r="C12" s="21" t="n">
        <v>540000</v>
      </c>
      <c r="D12" s="22" t="n">
        <f aca="false">C12/E12</f>
        <v>158.823529411765</v>
      </c>
      <c r="E12" s="23" t="n">
        <v>3400</v>
      </c>
      <c r="F12" s="24" t="n">
        <v>58000</v>
      </c>
      <c r="G12" s="25" t="n">
        <f aca="false">IFERROR(IF(D12="","",((D12-H12)/F12)),"")</f>
        <v>0.00273833671399594</v>
      </c>
      <c r="H12" s="26"/>
      <c r="I12" s="27" t="n">
        <f aca="false">IFERROR(IF(D12="","",SUM($D$8:D12)),"")</f>
        <v>3216.65565303336</v>
      </c>
      <c r="J12" s="28" t="n">
        <f aca="false">IFERROR(IF(G12="","",SUM($G$8:G12)),"")</f>
        <v>0.0501572461872348</v>
      </c>
      <c r="K12" s="24" t="n">
        <f aca="false">IFERROR(IF(J12="","",I12/J12),"")</f>
        <v>64131.4246205968</v>
      </c>
      <c r="L12" s="27" t="n">
        <f aca="false">IFERROR(IF(J12="","",J12*$B$5),"")</f>
        <v>5517.29708059583</v>
      </c>
      <c r="M12" s="29" t="str">
        <f aca="false">IFERROR(IF(I12="","",IF((L12-I12)/I12&gt;0.3,"🟢 TAKE PROFIT  +"&amp;TEXT((L12-I12)/I12,"0.0%")&amp;"  — VENDE PARCIAL",IF((L12-I12)/I12&lt;-0.1,"🟡 "&amp;TEXT((L12-I12)/I12,"0.0%")&amp;"  — ZONA DCA  ACUMULA","🔵 "&amp;TEXT((L12-I12)/I12,"0.0%")&amp;"  — HOLDING  MANTÉN"))),"")</f>
        <v>🟢 TAKE PROFIT  +71.5%  — VENDE PARCIAL</v>
      </c>
      <c r="N12" s="2"/>
      <c r="O12" s="2"/>
    </row>
    <row r="13" customFormat="false" ht="21.75" hidden="false" customHeight="true" outlineLevel="0" collapsed="false">
      <c r="A13" s="2"/>
      <c r="B13" s="20" t="n">
        <v>46150</v>
      </c>
      <c r="C13" s="30" t="n">
        <v>1450000</v>
      </c>
      <c r="D13" s="22" t="n">
        <f aca="false">C13/E13</f>
        <v>386.666666666667</v>
      </c>
      <c r="E13" s="31" t="n">
        <v>3750</v>
      </c>
      <c r="F13" s="32" t="n">
        <v>55000</v>
      </c>
      <c r="G13" s="33" t="n">
        <f aca="false">IFERROR(IF(D13="","",((D13-H13)/F13)),"")</f>
        <v>0.00703030303030303</v>
      </c>
      <c r="H13" s="37"/>
      <c r="I13" s="34" t="n">
        <f aca="false">IFERROR(IF(D13="","",SUM($D$8:D13)),"")</f>
        <v>3603.32231970003</v>
      </c>
      <c r="J13" s="35" t="n">
        <f aca="false">IFERROR(IF(G13="","",SUM($G$8:G13)),"")</f>
        <v>0.0571875492175378</v>
      </c>
      <c r="K13" s="24" t="n">
        <f aca="false">IFERROR(IF(J13="","",I13/J13),"")</f>
        <v>63008.8606523986</v>
      </c>
      <c r="L13" s="34" t="n">
        <f aca="false">IFERROR(IF(J13="","",J13*$B$5),"")</f>
        <v>6290.63041392916</v>
      </c>
      <c r="M13" s="36" t="str">
        <f aca="false">IFERROR(IF(I13="","",IF((L13-I13)/I13&gt;0.3,"🟢 TAKE PROFIT  +"&amp;TEXT((L13-I13)/I13,"0.0%")&amp;"  — VENDE PARCIAL",IF((L13-I13)/I13&lt;-0.1,"🟡 "&amp;TEXT((L13-I13)/I13,"0.0%")&amp;"  — ZONA DCA  ACUMULA","🔵 "&amp;TEXT((L13-I13)/I13,"0.0%")&amp;"  — HOLDING  MANTÉN"))),"")</f>
        <v>🟢 TAKE PROFIT  +74.6%  — VENDE PARCIAL</v>
      </c>
      <c r="N13" s="2"/>
      <c r="O13" s="2"/>
    </row>
    <row r="14" customFormat="false" ht="21.75" hidden="false" customHeight="true" outlineLevel="0" collapsed="false">
      <c r="A14" s="2"/>
      <c r="B14" s="20" t="n">
        <v>46151</v>
      </c>
      <c r="C14" s="21" t="n">
        <v>200000</v>
      </c>
      <c r="D14" s="22" t="n">
        <f aca="false">C14/E14</f>
        <v>54.7945205479452</v>
      </c>
      <c r="E14" s="23" t="n">
        <v>3650</v>
      </c>
      <c r="F14" s="24" t="n">
        <v>50000</v>
      </c>
      <c r="G14" s="25" t="n">
        <f aca="false">IFERROR(IF(D14="","",((D14-H14)/F14)),"")</f>
        <v>0.0010958904109589</v>
      </c>
      <c r="H14" s="26"/>
      <c r="I14" s="27" t="n">
        <f aca="false">IFERROR(IF(D14="","",SUM($D$8:D14)),"")</f>
        <v>3658.11684024797</v>
      </c>
      <c r="J14" s="28" t="n">
        <f aca="false">IFERROR(IF(G14="","",SUM($G$8:G14)),"")</f>
        <v>0.0582834396284967</v>
      </c>
      <c r="K14" s="24" t="n">
        <f aca="false">IFERROR(IF(J14="","",I14/J14),"")</f>
        <v>62764.2579704476</v>
      </c>
      <c r="L14" s="27" t="n">
        <f aca="false">IFERROR(IF(J14="","",J14*$B$5),"")</f>
        <v>6411.17835913464</v>
      </c>
      <c r="M14" s="29" t="str">
        <f aca="false">IFERROR(IF(I14="","",IF((L14-I14)/I14&gt;0.3,"🟢 TAKE PROFIT  +"&amp;TEXT((L14-I14)/I14,"0.0%")&amp;"  — VENDE PARCIAL",IF((L14-I14)/I14&lt;-0.1,"🟡 "&amp;TEXT((L14-I14)/I14,"0.0%")&amp;"  — ZONA DCA  ACUMULA","🔵 "&amp;TEXT((L14-I14)/I14,"0.0%")&amp;"  — HOLDING  MANTÉN"))),"")</f>
        <v>🟢 TAKE PROFIT  +75.3%  — VENDE PARCIAL</v>
      </c>
      <c r="N14" s="2"/>
      <c r="O14" s="2"/>
    </row>
    <row r="15" customFormat="false" ht="21.75" hidden="false" customHeight="true" outlineLevel="0" collapsed="false">
      <c r="A15" s="2"/>
      <c r="B15" s="20" t="n">
        <v>46152</v>
      </c>
      <c r="C15" s="30" t="n">
        <v>2500000</v>
      </c>
      <c r="D15" s="22" t="n">
        <f aca="false">C15/E15</f>
        <v>668.449197860963</v>
      </c>
      <c r="E15" s="31" t="n">
        <v>3740</v>
      </c>
      <c r="F15" s="32" t="n">
        <v>74000</v>
      </c>
      <c r="G15" s="33" t="n">
        <f aca="false">IFERROR(IF(D15="","",((D15-H15)/F15)),"")</f>
        <v>0.00903309726839139</v>
      </c>
      <c r="H15" s="37"/>
      <c r="I15" s="34" t="n">
        <f aca="false">IFERROR(IF(D15="","",SUM($D$8:D15)),"")</f>
        <v>4326.56603810894</v>
      </c>
      <c r="J15" s="35" t="n">
        <f aca="false">IFERROR(IF(G15="","",SUM($G$8:G15)),"")</f>
        <v>0.0673165368968881</v>
      </c>
      <c r="K15" s="32" t="n">
        <f aca="false">IFERROR(IF(J15="","",I15/J15),"")</f>
        <v>64271.9640307127</v>
      </c>
      <c r="L15" s="34" t="n">
        <f aca="false">IFERROR(IF(J15="","",J15*$B$5),"")</f>
        <v>7404.81905865769</v>
      </c>
      <c r="M15" s="36" t="str">
        <f aca="false">IFERROR(IF(I15="","",IF((L15-I15)/I15&gt;0.3,"🟢 TAKE PROFIT  +"&amp;TEXT((L15-I15)/I15,"0.0%")&amp;"  — VENDE PARCIAL",IF((L15-I15)/I15&lt;-0.1,"🟡 "&amp;TEXT((L15-I15)/I15,"0.0%")&amp;"  — ZONA DCA  ACUMULA","🔵 "&amp;TEXT((L15-I15)/I15,"0.0%")&amp;"  — HOLDING  MANTÉN"))),"")</f>
        <v>🟢 TAKE PROFIT  +71.1%  — VENDE PARCIAL</v>
      </c>
      <c r="N15" s="2"/>
      <c r="O15" s="2"/>
    </row>
    <row r="16" customFormat="false" ht="21.75" hidden="false" customHeight="true" outlineLevel="0" collapsed="false">
      <c r="A16" s="2"/>
      <c r="B16" s="20"/>
      <c r="C16" s="21"/>
      <c r="D16" s="22"/>
      <c r="E16" s="23"/>
      <c r="F16" s="24"/>
      <c r="G16" s="25" t="str">
        <f aca="false">IFERROR(IF(D16="","",((D16-H16)/F16)),"")</f>
        <v/>
      </c>
      <c r="H16" s="26"/>
      <c r="I16" s="27" t="str">
        <f aca="false">IFERROR(IF(D16="","",SUM($D$8:D16)),"")</f>
        <v/>
      </c>
      <c r="J16" s="28" t="str">
        <f aca="false">IFERROR(IF(G16="","",SUM($G$8:G16)),"")</f>
        <v/>
      </c>
      <c r="K16" s="24" t="str">
        <f aca="false">IFERROR(IF(J16="","",I16/J16),"")</f>
        <v/>
      </c>
      <c r="L16" s="27" t="str">
        <f aca="false">IFERROR(IF(J16="","",J16*$B$5),"")</f>
        <v/>
      </c>
      <c r="M16" s="29" t="str">
        <f aca="false">IFERROR(IF(I16="","",IF((L16-I16)/I16&gt;0.3,"🟢 TAKE PROFIT  +"&amp;TEXT((L16-I16)/I16,"0.0%")&amp;"  — VENDE PARCIAL",IF((L16-I16)/I16&lt;-0.1,"🟡 "&amp;TEXT((L16-I16)/I16,"0.0%")&amp;"  — ZONA DCA  ACUMULA","🔵 "&amp;TEXT((L16-I16)/I16,"0.0%")&amp;"  — HOLDING  MANTÉN"))),"")</f>
        <v/>
      </c>
      <c r="N16" s="2"/>
      <c r="O16" s="2"/>
    </row>
    <row r="17" customFormat="false" ht="21.75" hidden="false" customHeight="true" outlineLevel="0" collapsed="false">
      <c r="A17" s="2"/>
      <c r="B17" s="38"/>
      <c r="C17" s="21"/>
      <c r="D17" s="22"/>
      <c r="E17" s="31"/>
      <c r="F17" s="32"/>
      <c r="G17" s="33" t="str">
        <f aca="false">IFERROR(IF(D17="","",((D17-H17)/F17)),"")</f>
        <v/>
      </c>
      <c r="H17" s="37"/>
      <c r="I17" s="34" t="str">
        <f aca="false">IFERROR(IF(D17="","",SUM($D$8:D17)),"")</f>
        <v/>
      </c>
      <c r="J17" s="35" t="str">
        <f aca="false">IFERROR(IF(G17="","",SUM($G$8:G17)),"")</f>
        <v/>
      </c>
      <c r="K17" s="32" t="str">
        <f aca="false">IFERROR(IF(J17="","",I17/J17),"")</f>
        <v/>
      </c>
      <c r="L17" s="34" t="str">
        <f aca="false">IFERROR(IF(J17="","",J17*$B$5),"")</f>
        <v/>
      </c>
      <c r="M17" s="36" t="str">
        <f aca="false">IFERROR(IF(I17="","",IF((L17-I17)/I17&gt;0.3,"🟢 TAKE PROFIT  +"&amp;TEXT((L17-I17)/I17,"0.0%")&amp;"  — VENDE PARCIAL",IF((L17-I17)/I17&lt;-0.1,"🟡 "&amp;TEXT((L17-I17)/I17,"0.0%")&amp;"  — ZONA DCA  ACUMULA","🔵 "&amp;TEXT((L17-I17)/I17,"0.0%")&amp;"  — HOLDING  MANTÉN"))),"")</f>
        <v/>
      </c>
      <c r="N17" s="2"/>
      <c r="O17" s="2"/>
    </row>
    <row r="18" customFormat="false" ht="21.75" hidden="false" customHeight="true" outlineLevel="0" collapsed="false">
      <c r="A18" s="2"/>
      <c r="B18" s="38"/>
      <c r="C18" s="21"/>
      <c r="D18" s="22"/>
      <c r="E18" s="23"/>
      <c r="F18" s="24"/>
      <c r="G18" s="25" t="str">
        <f aca="false">IFERROR(IF(D18="","",((D18-H18)/F18)),"")</f>
        <v/>
      </c>
      <c r="H18" s="26"/>
      <c r="I18" s="27" t="str">
        <f aca="false">IFERROR(IF(D18="","",SUM($D$8:D18)),"")</f>
        <v/>
      </c>
      <c r="J18" s="28" t="str">
        <f aca="false">IFERROR(IF(G18="","",SUM($G$8:G18)),"")</f>
        <v/>
      </c>
      <c r="K18" s="24" t="str">
        <f aca="false">IFERROR(IF(J18="","",I18/J18),"")</f>
        <v/>
      </c>
      <c r="L18" s="27" t="str">
        <f aca="false">IFERROR(IF(J18="","",J18*$B$5),"")</f>
        <v/>
      </c>
      <c r="M18" s="29" t="str">
        <f aca="false">IFERROR(IF(I18="","",IF((L18-I18)/I18&gt;0.3,"🟢 TAKE PROFIT  +"&amp;TEXT((L18-I18)/I18,"0.0%")&amp;"  — VENDE PARCIAL",IF((L18-I18)/I18&lt;-0.1,"🟡 "&amp;TEXT((L18-I18)/I18,"0.0%")&amp;"  — ZONA DCA  ACUMULA","🔵 "&amp;TEXT((L18-I18)/I18,"0.0%")&amp;"  — HOLDING  MANTÉN"))),"")</f>
        <v/>
      </c>
      <c r="N18" s="2"/>
      <c r="O18" s="2"/>
    </row>
    <row r="19" customFormat="false" ht="21.75" hidden="false" customHeight="true" outlineLevel="0" collapsed="false">
      <c r="A19" s="2"/>
      <c r="B19" s="20"/>
      <c r="C19" s="21"/>
      <c r="D19" s="22"/>
      <c r="E19" s="31"/>
      <c r="F19" s="32"/>
      <c r="G19" s="33" t="str">
        <f aca="false">IFERROR(IF(D19="","",((D19-H19)/F19)),"")</f>
        <v/>
      </c>
      <c r="H19" s="37"/>
      <c r="I19" s="34" t="str">
        <f aca="false">IFERROR(IF(D19="","",SUM($D$8:D19)),"")</f>
        <v/>
      </c>
      <c r="J19" s="35" t="str">
        <f aca="false">IFERROR(IF(G19="","",SUM($G$8:G19)),"")</f>
        <v/>
      </c>
      <c r="K19" s="32" t="str">
        <f aca="false">IFERROR(IF(J19="","",I19/J19),"")</f>
        <v/>
      </c>
      <c r="L19" s="34" t="str">
        <f aca="false">IFERROR(IF(J19="","",J19*$B$5),"")</f>
        <v/>
      </c>
      <c r="M19" s="36" t="str">
        <f aca="false">IFERROR(IF(I19="","",IF((L19-I19)/I19&gt;0.3,"🟢 TAKE PROFIT  +"&amp;TEXT((L19-I19)/I19,"0.0%")&amp;"  — VENDE PARCIAL",IF((L19-I19)/I19&lt;-0.1,"🟡 "&amp;TEXT((L19-I19)/I19,"0.0%")&amp;"  — ZONA DCA  ACUMULA","🔵 "&amp;TEXT((L19-I19)/I19,"0.0%")&amp;"  — HOLDING  MANTÉN"))),"")</f>
        <v/>
      </c>
      <c r="N19" s="2"/>
      <c r="O19" s="2"/>
    </row>
    <row r="20" customFormat="false" ht="21.75" hidden="false" customHeight="true" outlineLevel="0" collapsed="false">
      <c r="A20" s="2"/>
      <c r="B20" s="38"/>
      <c r="C20" s="21"/>
      <c r="D20" s="22"/>
      <c r="E20" s="23"/>
      <c r="F20" s="24"/>
      <c r="G20" s="25" t="str">
        <f aca="false">IFERROR(IF(D20="","",((D20-H20)/F20)),"")</f>
        <v/>
      </c>
      <c r="H20" s="26"/>
      <c r="I20" s="27" t="str">
        <f aca="false">IFERROR(IF(D20="","",SUM($D$8:D20)),"")</f>
        <v/>
      </c>
      <c r="J20" s="28" t="str">
        <f aca="false">IFERROR(IF(G20="","",SUM($G$8:G20)),"")</f>
        <v/>
      </c>
      <c r="K20" s="24" t="str">
        <f aca="false">IFERROR(IF(J20="","",I20/J20),"")</f>
        <v/>
      </c>
      <c r="L20" s="27" t="str">
        <f aca="false">IFERROR(IF(J20="","",J20*$B$5),"")</f>
        <v/>
      </c>
      <c r="M20" s="29" t="str">
        <f aca="false">IFERROR(IF(I20="","",IF((L20-I20)/I20&gt;0.3,"🟢 TAKE PROFIT  +"&amp;TEXT((L20-I20)/I20,"0.0%")&amp;"  — VENDE PARCIAL",IF((L20-I20)/I20&lt;-0.1,"🟡 "&amp;TEXT((L20-I20)/I20,"0.0%")&amp;"  — ZONA DCA  ACUMULA","🔵 "&amp;TEXT((L20-I20)/I20,"0.0%")&amp;"  — HOLDING  MANTÉN"))),"")</f>
        <v/>
      </c>
      <c r="N20" s="2"/>
      <c r="O20" s="2"/>
    </row>
    <row r="21" customFormat="false" ht="21.75" hidden="false" customHeight="true" outlineLevel="0" collapsed="false">
      <c r="A21" s="2"/>
      <c r="B21" s="38"/>
      <c r="C21" s="30"/>
      <c r="D21" s="22"/>
      <c r="E21" s="31"/>
      <c r="F21" s="32"/>
      <c r="G21" s="33" t="str">
        <f aca="false">IFERROR(IF(D21="","",((D21-H21)/F21)),"")</f>
        <v/>
      </c>
      <c r="H21" s="37"/>
      <c r="I21" s="34" t="str">
        <f aca="false">IFERROR(IF(D21="","",SUM($D$8:D21)),"")</f>
        <v/>
      </c>
      <c r="J21" s="35" t="str">
        <f aca="false">IFERROR(IF(G21="","",SUM($G$8:G21)),"")</f>
        <v/>
      </c>
      <c r="K21" s="32" t="str">
        <f aca="false">IFERROR(IF(J21="","",I21/J21),"")</f>
        <v/>
      </c>
      <c r="L21" s="34" t="str">
        <f aca="false">IFERROR(IF(J21="","",J21*$B$5),"")</f>
        <v/>
      </c>
      <c r="M21" s="36" t="str">
        <f aca="false">IFERROR(IF(I21="","",IF((L21-I21)/I21&gt;0.3,"🟢 TAKE PROFIT  +"&amp;TEXT((L21-I21)/I21,"0.0%")&amp;"  — VENDE PARCIAL",IF((L21-I21)/I21&lt;-0.1,"🟡 "&amp;TEXT((L21-I21)/I21,"0.0%")&amp;"  — ZONA DCA  ACUMULA","🔵 "&amp;TEXT((L21-I21)/I21,"0.0%")&amp;"  — HOLDING  MANTÉN"))),"")</f>
        <v/>
      </c>
      <c r="N21" s="2"/>
      <c r="O21" s="2"/>
    </row>
    <row r="22" customFormat="false" ht="21.75" hidden="false" customHeight="true" outlineLevel="0" collapsed="false">
      <c r="A22" s="2"/>
      <c r="B22" s="20"/>
      <c r="C22" s="21"/>
      <c r="D22" s="22"/>
      <c r="E22" s="23"/>
      <c r="F22" s="24"/>
      <c r="G22" s="25" t="str">
        <f aca="false">IFERROR(IF(D22="","",((D22-H22)/F22)),"")</f>
        <v/>
      </c>
      <c r="H22" s="26"/>
      <c r="I22" s="27" t="str">
        <f aca="false">IFERROR(IF(D22="","",SUM($D$8:D22)),"")</f>
        <v/>
      </c>
      <c r="J22" s="28" t="str">
        <f aca="false">IFERROR(IF(G22="","",SUM($G$8:G22)),"")</f>
        <v/>
      </c>
      <c r="K22" s="24" t="str">
        <f aca="false">IFERROR(IF(J22="","",I22/J22),"")</f>
        <v/>
      </c>
      <c r="L22" s="27" t="str">
        <f aca="false">IFERROR(IF(J22="","",J22*$B$5),"")</f>
        <v/>
      </c>
      <c r="M22" s="29" t="str">
        <f aca="false">IFERROR(IF(I22="","",IF((L22-I22)/I22&gt;0.3,"🟢 TAKE PROFIT  +"&amp;TEXT((L22-I22)/I22,"0.0%")&amp;"  — VENDE PARCIAL",IF((L22-I22)/I22&lt;-0.1,"🟡 "&amp;TEXT((L22-I22)/I22,"0.0%")&amp;"  — ZONA DCA  ACUMULA","🔵 "&amp;TEXT((L22-I22)/I22,"0.0%")&amp;"  — HOLDING  MANTÉN"))),"")</f>
        <v/>
      </c>
      <c r="N22" s="2"/>
      <c r="O22" s="2"/>
    </row>
    <row r="23" customFormat="false" ht="21.75" hidden="false" customHeight="true" outlineLevel="0" collapsed="false">
      <c r="A23" s="2"/>
      <c r="B23" s="38"/>
      <c r="C23" s="30"/>
      <c r="D23" s="22"/>
      <c r="E23" s="31"/>
      <c r="F23" s="32"/>
      <c r="G23" s="33" t="str">
        <f aca="false">IFERROR(IF(D23="","",((D23-H23)/F23)),"")</f>
        <v/>
      </c>
      <c r="H23" s="37"/>
      <c r="I23" s="34" t="str">
        <f aca="false">IFERROR(IF(D23="","",SUM($D$8:D23)),"")</f>
        <v/>
      </c>
      <c r="J23" s="35" t="str">
        <f aca="false">IFERROR(IF(G23="","",SUM($G$8:G23)),"")</f>
        <v/>
      </c>
      <c r="K23" s="32" t="str">
        <f aca="false">IFERROR(IF(J23="","",I23/J23),"")</f>
        <v/>
      </c>
      <c r="L23" s="34" t="str">
        <f aca="false">IFERROR(IF(J23="","",J23*$B$5),"")</f>
        <v/>
      </c>
      <c r="M23" s="36" t="str">
        <f aca="false">IFERROR(IF(I23="","",IF((L23-I23)/I23&gt;0.3,"🟢 TAKE PROFIT  +"&amp;TEXT((L23-I23)/I23,"0.0%")&amp;"  — VENDE PARCIAL",IF((L23-I23)/I23&lt;-0.1,"🟡 "&amp;TEXT((L23-I23)/I23,"0.0%")&amp;"  — ZONA DCA  ACUMULA","🔵 "&amp;TEXT((L23-I23)/I23,"0.0%")&amp;"  — HOLDING  MANTÉN"))),"")</f>
        <v/>
      </c>
      <c r="N23" s="2"/>
      <c r="O23" s="2"/>
    </row>
    <row r="24" customFormat="false" ht="21.75" hidden="false" customHeight="true" outlineLevel="0" collapsed="false">
      <c r="A24" s="2"/>
      <c r="B24" s="20"/>
      <c r="C24" s="21"/>
      <c r="D24" s="22"/>
      <c r="E24" s="23"/>
      <c r="F24" s="24"/>
      <c r="G24" s="25" t="str">
        <f aca="false">IFERROR(IF(D24="","",((D24-H24)/F24)),"")</f>
        <v/>
      </c>
      <c r="H24" s="26"/>
      <c r="I24" s="27" t="str">
        <f aca="false">IFERROR(IF(D24="","",SUM($D$8:D24)),"")</f>
        <v/>
      </c>
      <c r="J24" s="28" t="str">
        <f aca="false">IFERROR(IF(G24="","",SUM($G$8:G24)),"")</f>
        <v/>
      </c>
      <c r="K24" s="24" t="str">
        <f aca="false">IFERROR(IF(J24="","",I24/J24),"")</f>
        <v/>
      </c>
      <c r="L24" s="27" t="str">
        <f aca="false">IFERROR(IF(J24="","",J24*$B$5),"")</f>
        <v/>
      </c>
      <c r="M24" s="29" t="str">
        <f aca="false">IFERROR(IF(I24="","",IF((L24-I24)/I24&gt;0.3,"🟢 TAKE PROFIT  +"&amp;TEXT((L24-I24)/I24,"0.0%")&amp;"  — VENDE PARCIAL",IF((L24-I24)/I24&lt;-0.1,"🟡 "&amp;TEXT((L24-I24)/I24,"0.0%")&amp;"  — ZONA DCA  ACUMULA","🔵 "&amp;TEXT((L24-I24)/I24,"0.0%")&amp;"  — HOLDING  MANTÉN"))),"")</f>
        <v/>
      </c>
      <c r="N24" s="2"/>
      <c r="O24" s="2"/>
    </row>
    <row r="25" customFormat="false" ht="21.75" hidden="false" customHeight="true" outlineLevel="0" collapsed="false">
      <c r="A25" s="2"/>
      <c r="B25" s="38"/>
      <c r="C25" s="30"/>
      <c r="D25" s="22"/>
      <c r="E25" s="31"/>
      <c r="F25" s="32"/>
      <c r="G25" s="33" t="str">
        <f aca="false">IFERROR(IF(D25="","",((D25-H25)/F25)),"")</f>
        <v/>
      </c>
      <c r="H25" s="37"/>
      <c r="I25" s="34" t="str">
        <f aca="false">IFERROR(IF(D25="","",SUM($D$8:D25)),"")</f>
        <v/>
      </c>
      <c r="J25" s="35" t="str">
        <f aca="false">IFERROR(IF(G25="","",SUM($G$8:G25)),"")</f>
        <v/>
      </c>
      <c r="K25" s="32" t="str">
        <f aca="false">IFERROR(IF(J25="","",I25/J25),"")</f>
        <v/>
      </c>
      <c r="L25" s="34" t="str">
        <f aca="false">IFERROR(IF(J25="","",J25*$B$5),"")</f>
        <v/>
      </c>
      <c r="M25" s="36" t="str">
        <f aca="false">IFERROR(IF(I25="","",IF((L25-I25)/I25&gt;0.3,"🟢 TAKE PROFIT  +"&amp;TEXT((L25-I25)/I25,"0.0%")&amp;"  — VENDE PARCIAL",IF((L25-I25)/I25&lt;-0.1,"🟡 "&amp;TEXT((L25-I25)/I25,"0.0%")&amp;"  — ZONA DCA  ACUMULA","🔵 "&amp;TEXT((L25-I25)/I25,"0.0%")&amp;"  — HOLDING  MANTÉN"))),"")</f>
        <v/>
      </c>
      <c r="N25" s="2"/>
      <c r="O25" s="2"/>
    </row>
    <row r="26" customFormat="false" ht="21.75" hidden="false" customHeight="true" outlineLevel="0" collapsed="false">
      <c r="A26" s="2"/>
      <c r="B26" s="38"/>
      <c r="C26" s="21"/>
      <c r="D26" s="22"/>
      <c r="E26" s="23"/>
      <c r="F26" s="24"/>
      <c r="G26" s="25" t="str">
        <f aca="false">IFERROR(IF(D26="","",((D26-H26)/F26)),"")</f>
        <v/>
      </c>
      <c r="H26" s="26"/>
      <c r="I26" s="27" t="str">
        <f aca="false">IFERROR(IF(D26="","",SUM($D$8:D26)),"")</f>
        <v/>
      </c>
      <c r="J26" s="28" t="str">
        <f aca="false">IFERROR(IF(G26="","",SUM($G$8:G26)),"")</f>
        <v/>
      </c>
      <c r="K26" s="24" t="str">
        <f aca="false">IFERROR(IF(J26="","",I26/J26),"")</f>
        <v/>
      </c>
      <c r="L26" s="27" t="str">
        <f aca="false">IFERROR(IF(J26="","",J26*$B$5),"")</f>
        <v/>
      </c>
      <c r="M26" s="29" t="str">
        <f aca="false">IFERROR(IF(I26="","",IF((L26-I26)/I26&gt;0.3,"🟢 TAKE PROFIT  +"&amp;TEXT((L26-I26)/I26,"0.0%")&amp;"  — VENDE PARCIAL",IF((L26-I26)/I26&lt;-0.1,"🟡 "&amp;TEXT((L26-I26)/I26,"0.0%")&amp;"  — ZONA DCA  ACUMULA","🔵 "&amp;TEXT((L26-I26)/I26,"0.0%")&amp;"  — HOLDING  MANTÉN"))),"")</f>
        <v/>
      </c>
      <c r="N26" s="2"/>
      <c r="O26" s="2"/>
    </row>
    <row r="27" customFormat="false" ht="21.75" hidden="false" customHeight="true" outlineLevel="0" collapsed="false">
      <c r="A27" s="2"/>
      <c r="B27" s="38"/>
      <c r="C27" s="30"/>
      <c r="D27" s="22"/>
      <c r="E27" s="31"/>
      <c r="F27" s="32"/>
      <c r="G27" s="33" t="str">
        <f aca="false">IFERROR(IF(D27="","",((D27-H27)/F27)),"")</f>
        <v/>
      </c>
      <c r="H27" s="37"/>
      <c r="I27" s="34" t="str">
        <f aca="false">IFERROR(IF(D27="","",SUM($D$8:D27)),"")</f>
        <v/>
      </c>
      <c r="J27" s="35" t="str">
        <f aca="false">IFERROR(IF(G27="","",SUM($G$8:G27)),"")</f>
        <v/>
      </c>
      <c r="K27" s="32" t="str">
        <f aca="false">IFERROR(IF(J27="","",I27/J27),"")</f>
        <v/>
      </c>
      <c r="L27" s="34" t="str">
        <f aca="false">IFERROR(IF(J27="","",J27*$B$5),"")</f>
        <v/>
      </c>
      <c r="M27" s="36" t="str">
        <f aca="false">IFERROR(IF(I27="","",IF((L27-I27)/I27&gt;0.3,"🟢 TAKE PROFIT  +"&amp;TEXT((L27-I27)/I27,"0.0%")&amp;"  — VENDE PARCIAL",IF((L27-I27)/I27&lt;-0.1,"🟡 "&amp;TEXT((L27-I27)/I27,"0.0%")&amp;"  — ZONA DCA  ACUMULA","🔵 "&amp;TEXT((L27-I27)/I27,"0.0%")&amp;"  — HOLDING  MANTÉN"))),"")</f>
        <v/>
      </c>
      <c r="N27" s="2"/>
      <c r="O27" s="2"/>
    </row>
    <row r="28" customFormat="false" ht="21.75" hidden="false" customHeight="true" outlineLevel="0" collapsed="false">
      <c r="A28" s="2"/>
      <c r="B28" s="20"/>
      <c r="C28" s="21"/>
      <c r="D28" s="22"/>
      <c r="E28" s="23"/>
      <c r="F28" s="24"/>
      <c r="G28" s="25" t="str">
        <f aca="false">IFERROR(IF(D28="","",((D28-H28)/F28)),"")</f>
        <v/>
      </c>
      <c r="H28" s="26"/>
      <c r="I28" s="27" t="str">
        <f aca="false">IFERROR(IF(D28="","",SUM($D$8:D28)),"")</f>
        <v/>
      </c>
      <c r="J28" s="28" t="str">
        <f aca="false">IFERROR(IF(G28="","",SUM($G$8:G28)),"")</f>
        <v/>
      </c>
      <c r="K28" s="24" t="str">
        <f aca="false">IFERROR(IF(J28="","",I28/J28),"")</f>
        <v/>
      </c>
      <c r="L28" s="27" t="str">
        <f aca="false">IFERROR(IF(J28="","",J28*$B$5),"")</f>
        <v/>
      </c>
      <c r="M28" s="29" t="str">
        <f aca="false">IFERROR(IF(I28="","",IF((L28-I28)/I28&gt;0.3,"🟢 TAKE PROFIT  +"&amp;TEXT((L28-I28)/I28,"0.0%")&amp;"  — VENDE PARCIAL",IF((L28-I28)/I28&lt;-0.1,"🟡 "&amp;TEXT((L28-I28)/I28,"0.0%")&amp;"  — ZONA DCA  ACUMULA","🔵 "&amp;TEXT((L28-I28)/I28,"0.0%")&amp;"  — HOLDING  MANTÉN"))),"")</f>
        <v/>
      </c>
      <c r="N28" s="2"/>
      <c r="O28" s="2"/>
    </row>
    <row r="29" customFormat="false" ht="21.75" hidden="false" customHeight="true" outlineLevel="0" collapsed="false">
      <c r="A29" s="2"/>
      <c r="B29" s="38"/>
      <c r="C29" s="30"/>
      <c r="D29" s="39"/>
      <c r="E29" s="31"/>
      <c r="F29" s="32"/>
      <c r="G29" s="33" t="str">
        <f aca="false">IFERROR(IF(D29="","",((D29-H29)/F29)),"")</f>
        <v/>
      </c>
      <c r="H29" s="37"/>
      <c r="I29" s="34" t="str">
        <f aca="false">IFERROR(IF(D29="","",SUM($D$8:D29)),"")</f>
        <v/>
      </c>
      <c r="J29" s="35" t="str">
        <f aca="false">IFERROR(IF(G29="","",SUM($G$8:G29)),"")</f>
        <v/>
      </c>
      <c r="K29" s="32" t="str">
        <f aca="false">IFERROR(IF(J29="","",I29/J29),"")</f>
        <v/>
      </c>
      <c r="L29" s="34" t="str">
        <f aca="false">IFERROR(IF(J29="","",J29*$B$5),"")</f>
        <v/>
      </c>
      <c r="M29" s="36" t="str">
        <f aca="false">IFERROR(IF(I29="","",IF((L29-I29)/I29&gt;0.3,"🟢 TAKE PROFIT  +"&amp;TEXT((L29-I29)/I29,"0.0%")&amp;"  — VENDE PARCIAL",IF((L29-I29)/I29&lt;-0.1,"🟡 "&amp;TEXT((L29-I29)/I29,"0.0%")&amp;"  — ZONA DCA  ACUMULA","🔵 "&amp;TEXT((L29-I29)/I29,"0.0%")&amp;"  — HOLDING  MANTÉN"))),"")</f>
        <v/>
      </c>
      <c r="N29" s="2"/>
      <c r="O29" s="2"/>
    </row>
    <row r="30" customFormat="false" ht="21.75" hidden="false" customHeight="true" outlineLevel="0" collapsed="false">
      <c r="A30" s="2"/>
      <c r="B30" s="38"/>
      <c r="C30" s="21"/>
      <c r="D30" s="22"/>
      <c r="E30" s="23"/>
      <c r="F30" s="24"/>
      <c r="G30" s="25" t="str">
        <f aca="false">IFERROR(IF(D30="","",((D30-H30)/F30)),"")</f>
        <v/>
      </c>
      <c r="H30" s="26"/>
      <c r="I30" s="27" t="str">
        <f aca="false">IFERROR(IF(D30="","",SUM($D$8:D30)),"")</f>
        <v/>
      </c>
      <c r="J30" s="28" t="str">
        <f aca="false">IFERROR(IF(G30="","",SUM($G$8:G30)),"")</f>
        <v/>
      </c>
      <c r="K30" s="24" t="str">
        <f aca="false">IFERROR(IF(J30="","",I30/J30),"")</f>
        <v/>
      </c>
      <c r="L30" s="27" t="str">
        <f aca="false">IFERROR(IF(J30="","",J30*$B$5),"")</f>
        <v/>
      </c>
      <c r="M30" s="29" t="str">
        <f aca="false">IFERROR(IF(I30="","",IF((L30-I30)/I30&gt;0.3,"🟢 TAKE PROFIT  +"&amp;TEXT((L30-I30)/I30,"0.0%")&amp;"  — VENDE PARCIAL",IF((L30-I30)/I30&lt;-0.1,"🟡 "&amp;TEXT((L30-I30)/I30,"0.0%")&amp;"  — ZONA DCA  ACUMULA","🔵 "&amp;TEXT((L30-I30)/I30,"0.0%")&amp;"  — HOLDING  MANTÉN"))),"")</f>
        <v/>
      </c>
      <c r="N30" s="2"/>
      <c r="O30" s="2"/>
    </row>
    <row r="31" customFormat="false" ht="21.75" hidden="false" customHeight="true" outlineLevel="0" collapsed="false">
      <c r="A31" s="2"/>
      <c r="B31" s="38"/>
      <c r="C31" s="30"/>
      <c r="D31" s="39" t="str">
        <f aca="false">IFERROR(IF(C31="","",IF(E31="",C31,C31/E31)),"")</f>
        <v/>
      </c>
      <c r="E31" s="31"/>
      <c r="F31" s="32"/>
      <c r="G31" s="33" t="str">
        <f aca="false">IFERROR(IF(D31="","",((D31-H31)/F31)),"")</f>
        <v/>
      </c>
      <c r="H31" s="37"/>
      <c r="I31" s="34" t="str">
        <f aca="false">IFERROR(IF(D31="","",SUM($D$8:D31)),"")</f>
        <v/>
      </c>
      <c r="J31" s="35" t="str">
        <f aca="false">IFERROR(IF(G31="","",SUM($G$8:G31)),"")</f>
        <v/>
      </c>
      <c r="K31" s="32" t="str">
        <f aca="false">IFERROR(IF(J31="","",I31/J31),"")</f>
        <v/>
      </c>
      <c r="L31" s="34" t="str">
        <f aca="false">IFERROR(IF(J31="","",J31*$B$5),"")</f>
        <v/>
      </c>
      <c r="M31" s="36" t="str">
        <f aca="false">IFERROR(IF(I31="","",IF((L31-I31)/I31&gt;0.3,"🟢 TAKE PROFIT  +"&amp;TEXT((L31-I31)/I31,"0.0%")&amp;"  — VENDE PARCIAL",IF((L31-I31)/I31&lt;-0.1,"🟡 "&amp;TEXT((L31-I31)/I31,"0.0%")&amp;"  — ZONA DCA  ACUMULA","🔵 "&amp;TEXT((L31-I31)/I31,"0.0%")&amp;"  — HOLDING  MANTÉN"))),"")</f>
        <v/>
      </c>
      <c r="N31" s="2"/>
      <c r="O31" s="2"/>
    </row>
    <row r="32" customFormat="false" ht="21.75" hidden="false" customHeight="true" outlineLevel="0" collapsed="false">
      <c r="A32" s="2"/>
      <c r="B32" s="38"/>
      <c r="C32" s="21"/>
      <c r="D32" s="22" t="str">
        <f aca="false">IFERROR(IF(C32="","",IF(E32="",C32,C32/E32)),"")</f>
        <v/>
      </c>
      <c r="E32" s="23"/>
      <c r="F32" s="24"/>
      <c r="G32" s="25" t="str">
        <f aca="false">IFERROR(IF(D32="","",((D32-H32)/F32)),"")</f>
        <v/>
      </c>
      <c r="H32" s="26"/>
      <c r="I32" s="27" t="str">
        <f aca="false">IFERROR(IF(D32="","",SUM($D$8:D32)),"")</f>
        <v/>
      </c>
      <c r="J32" s="28" t="str">
        <f aca="false">IFERROR(IF(G32="","",SUM($G$8:G32)),"")</f>
        <v/>
      </c>
      <c r="K32" s="24" t="str">
        <f aca="false">IFERROR(IF(J32="","",I32/J32),"")</f>
        <v/>
      </c>
      <c r="L32" s="27" t="str">
        <f aca="false">IFERROR(IF(J32="","",J32*$B$5),"")</f>
        <v/>
      </c>
      <c r="M32" s="29" t="str">
        <f aca="false">IFERROR(IF(I32="","",IF((L32-I32)/I32&gt;0.3,"🟢 TAKE PROFIT  +"&amp;TEXT((L32-I32)/I32,"0.0%")&amp;"  — VENDE PARCIAL",IF((L32-I32)/I32&lt;-0.1,"🟡 "&amp;TEXT((L32-I32)/I32,"0.0%")&amp;"  — ZONA DCA  ACUMULA","🔵 "&amp;TEXT((L32-I32)/I32,"0.0%")&amp;"  — HOLDING  MANTÉN"))),"")</f>
        <v/>
      </c>
      <c r="N32" s="2"/>
      <c r="O32" s="2"/>
    </row>
    <row r="33" customFormat="false" ht="21.75" hidden="false" customHeight="true" outlineLevel="0" collapsed="false">
      <c r="A33" s="2"/>
      <c r="B33" s="38"/>
      <c r="C33" s="30"/>
      <c r="D33" s="39" t="str">
        <f aca="false">IFERROR(IF(C33="","",IF(E33="",C33,C33/E33)),"")</f>
        <v/>
      </c>
      <c r="E33" s="31"/>
      <c r="F33" s="32"/>
      <c r="G33" s="33" t="str">
        <f aca="false">IFERROR(IF(D33="","",((D33-H33)/F33)),"")</f>
        <v/>
      </c>
      <c r="H33" s="37"/>
      <c r="I33" s="34" t="str">
        <f aca="false">IFERROR(IF(D33="","",SUM($D$8:D33)),"")</f>
        <v/>
      </c>
      <c r="J33" s="35" t="str">
        <f aca="false">IFERROR(IF(G33="","",SUM($G$8:G33)),"")</f>
        <v/>
      </c>
      <c r="K33" s="32" t="str">
        <f aca="false">IFERROR(IF(J33="","",I33/J33),"")</f>
        <v/>
      </c>
      <c r="L33" s="34" t="str">
        <f aca="false">IFERROR(IF(J33="","",J33*$B$5),"")</f>
        <v/>
      </c>
      <c r="M33" s="36" t="str">
        <f aca="false">IFERROR(IF(I33="","",IF((L33-I33)/I33&gt;0.3,"🟢 TAKE PROFIT  +"&amp;TEXT((L33-I33)/I33,"0.0%")&amp;"  — VENDE PARCIAL",IF((L33-I33)/I33&lt;-0.1,"🟡 "&amp;TEXT((L33-I33)/I33,"0.0%")&amp;"  — ZONA DCA  ACUMULA","🔵 "&amp;TEXT((L33-I33)/I33,"0.0%")&amp;"  — HOLDING  MANTÉN"))),"")</f>
        <v/>
      </c>
      <c r="N33" s="2"/>
      <c r="O33" s="2"/>
    </row>
    <row r="34" customFormat="false" ht="21.75" hidden="false" customHeight="true" outlineLevel="0" collapsed="false">
      <c r="A34" s="2"/>
      <c r="B34" s="20"/>
      <c r="C34" s="21"/>
      <c r="D34" s="22" t="str">
        <f aca="false">IFERROR(IF(C34="","",IF(E34="",C34,C34/E34)),"")</f>
        <v/>
      </c>
      <c r="E34" s="23"/>
      <c r="F34" s="24"/>
      <c r="G34" s="25" t="str">
        <f aca="false">IFERROR(IF(D34="","",((D34-H34)/F34)),"")</f>
        <v/>
      </c>
      <c r="H34" s="26"/>
      <c r="I34" s="27" t="str">
        <f aca="false">IFERROR(IF(D34="","",SUM($D$8:D34)),"")</f>
        <v/>
      </c>
      <c r="J34" s="28" t="str">
        <f aca="false">IFERROR(IF(G34="","",SUM($G$8:G34)),"")</f>
        <v/>
      </c>
      <c r="K34" s="24" t="str">
        <f aca="false">IFERROR(IF(J34="","",I34/J34),"")</f>
        <v/>
      </c>
      <c r="L34" s="27" t="str">
        <f aca="false">IFERROR(IF(J34="","",J34*$B$5),"")</f>
        <v/>
      </c>
      <c r="M34" s="29" t="str">
        <f aca="false">IFERROR(IF(I34="","",IF((L34-I34)/I34&gt;0.3,"🟢 TAKE PROFIT  +"&amp;TEXT((L34-I34)/I34,"0.0%")&amp;"  — VENDE PARCIAL",IF((L34-I34)/I34&lt;-0.1,"🟡 "&amp;TEXT((L34-I34)/I34,"0.0%")&amp;"  — ZONA DCA  ACUMULA","🔵 "&amp;TEXT((L34-I34)/I34,"0.0%")&amp;"  — HOLDING  MANTÉN"))),"")</f>
        <v/>
      </c>
      <c r="N34" s="2"/>
      <c r="O34" s="2"/>
    </row>
    <row r="35" customFormat="false" ht="21.75" hidden="false" customHeight="true" outlineLevel="0" collapsed="false">
      <c r="A35" s="2"/>
      <c r="B35" s="38"/>
      <c r="C35" s="30"/>
      <c r="D35" s="39" t="str">
        <f aca="false">IFERROR(IF(C35="","",IF(E35="",C35,C35/E35)),"")</f>
        <v/>
      </c>
      <c r="E35" s="31"/>
      <c r="F35" s="32"/>
      <c r="G35" s="33" t="str">
        <f aca="false">IFERROR(IF(D35="","",((D35-H35)/F35)),"")</f>
        <v/>
      </c>
      <c r="H35" s="37"/>
      <c r="I35" s="34" t="str">
        <f aca="false">IFERROR(IF(D35="","",SUM($D$8:D35)),"")</f>
        <v/>
      </c>
      <c r="J35" s="35" t="str">
        <f aca="false">IFERROR(IF(G35="","",SUM($G$8:G35)),"")</f>
        <v/>
      </c>
      <c r="K35" s="32" t="str">
        <f aca="false">IFERROR(IF(J35="","",I35/J35),"")</f>
        <v/>
      </c>
      <c r="L35" s="34" t="str">
        <f aca="false">IFERROR(IF(J35="","",J35*$B$5),"")</f>
        <v/>
      </c>
      <c r="M35" s="36" t="str">
        <f aca="false">IFERROR(IF(I35="","",IF((L35-I35)/I35&gt;0.3,"🟢 TAKE PROFIT  +"&amp;TEXT((L35-I35)/I35,"0.0%")&amp;"  — VENDE PARCIAL",IF((L35-I35)/I35&lt;-0.1,"🟡 "&amp;TEXT((L35-I35)/I35,"0.0%")&amp;"  — ZONA DCA  ACUMULA","🔵 "&amp;TEXT((L35-I35)/I35,"0.0%")&amp;"  — HOLDING  MANTÉN"))),"")</f>
        <v/>
      </c>
      <c r="N35" s="2"/>
      <c r="O35" s="2"/>
    </row>
    <row r="36" customFormat="false" ht="21.75" hidden="false" customHeight="true" outlineLevel="0" collapsed="false">
      <c r="A36" s="2"/>
      <c r="B36" s="20"/>
      <c r="C36" s="21"/>
      <c r="D36" s="22" t="str">
        <f aca="false">IFERROR(IF(C36="","",IF(E36="",C36,C36/E36)),"")</f>
        <v/>
      </c>
      <c r="E36" s="23"/>
      <c r="F36" s="24"/>
      <c r="G36" s="25" t="str">
        <f aca="false">IFERROR(IF(D36="","",((D36-H36)/F36)),"")</f>
        <v/>
      </c>
      <c r="H36" s="26"/>
      <c r="I36" s="27" t="str">
        <f aca="false">IFERROR(IF(D36="","",SUM($D$8:D36)),"")</f>
        <v/>
      </c>
      <c r="J36" s="28" t="str">
        <f aca="false">IFERROR(IF(G36="","",SUM($G$8:G36)),"")</f>
        <v/>
      </c>
      <c r="K36" s="24" t="str">
        <f aca="false">IFERROR(IF(J36="","",I36/J36),"")</f>
        <v/>
      </c>
      <c r="L36" s="27" t="str">
        <f aca="false">IFERROR(IF(J36="","",J36*$B$5),"")</f>
        <v/>
      </c>
      <c r="M36" s="29" t="str">
        <f aca="false">IFERROR(IF(I36="","",IF((L36-I36)/I36&gt;0.3,"🟢 TAKE PROFIT  +"&amp;TEXT((L36-I36)/I36,"0.0%")&amp;"  — VENDE PARCIAL",IF((L36-I36)/I36&lt;-0.1,"🟡 "&amp;TEXT((L36-I36)/I36,"0.0%")&amp;"  — ZONA DCA  ACUMULA","🔵 "&amp;TEXT((L36-I36)/I36,"0.0%")&amp;"  — HOLDING  MANTÉN"))),"")</f>
        <v/>
      </c>
      <c r="N36" s="2"/>
      <c r="O36" s="2"/>
    </row>
    <row r="37" customFormat="false" ht="21.75" hidden="false" customHeight="true" outlineLevel="0" collapsed="false">
      <c r="A37" s="2"/>
      <c r="B37" s="38"/>
      <c r="C37" s="30"/>
      <c r="D37" s="39" t="str">
        <f aca="false">IFERROR(IF(C37="","",IF(E37="",C37,C37/E37)),"")</f>
        <v/>
      </c>
      <c r="E37" s="31"/>
      <c r="F37" s="32"/>
      <c r="G37" s="33" t="str">
        <f aca="false">IFERROR(IF(D37="","",((D37-H37)/F37)),"")</f>
        <v/>
      </c>
      <c r="H37" s="37"/>
      <c r="I37" s="34" t="str">
        <f aca="false">IFERROR(IF(D37="","",SUM($D$8:D37)),"")</f>
        <v/>
      </c>
      <c r="J37" s="35" t="str">
        <f aca="false">IFERROR(IF(G37="","",SUM($G$8:G37)),"")</f>
        <v/>
      </c>
      <c r="K37" s="32" t="str">
        <f aca="false">IFERROR(IF(J37="","",I37/J37),"")</f>
        <v/>
      </c>
      <c r="L37" s="34" t="str">
        <f aca="false">IFERROR(IF(J37="","",J37*$B$5),"")</f>
        <v/>
      </c>
      <c r="M37" s="36" t="str">
        <f aca="false">IFERROR(IF(I37="","",IF((L37-I37)/I37&gt;0.3,"🟢 TAKE PROFIT  +"&amp;TEXT((L37-I37)/I37,"0.0%")&amp;"  — VENDE PARCIAL",IF((L37-I37)/I37&lt;-0.1,"🟡 "&amp;TEXT((L37-I37)/I37,"0.0%")&amp;"  — ZONA DCA  ACUMULA","🔵 "&amp;TEXT((L37-I37)/I37,"0.0%")&amp;"  — HOLDING  MANTÉN"))),"")</f>
        <v/>
      </c>
      <c r="N37" s="2"/>
      <c r="O37" s="2"/>
    </row>
    <row r="38" customFormat="false" ht="21.75" hidden="false" customHeight="true" outlineLevel="0" collapsed="false">
      <c r="A38" s="2"/>
      <c r="B38" s="20"/>
      <c r="C38" s="21"/>
      <c r="D38" s="22" t="str">
        <f aca="false">IFERROR(IF(C38="","",IF(E38="",C38,C38/E38)),"")</f>
        <v/>
      </c>
      <c r="E38" s="23"/>
      <c r="F38" s="24"/>
      <c r="G38" s="25" t="str">
        <f aca="false">IFERROR(IF(D38="","",((D38-H38)/F38)),"")</f>
        <v/>
      </c>
      <c r="H38" s="26"/>
      <c r="I38" s="27" t="str">
        <f aca="false">IFERROR(IF(D38="","",SUM($D$8:D38)),"")</f>
        <v/>
      </c>
      <c r="J38" s="28" t="str">
        <f aca="false">IFERROR(IF(G38="","",SUM($G$8:G38)),"")</f>
        <v/>
      </c>
      <c r="K38" s="24" t="str">
        <f aca="false">IFERROR(IF(J38="","",I38/J38),"")</f>
        <v/>
      </c>
      <c r="L38" s="27" t="str">
        <f aca="false">IFERROR(IF(J38="","",J38*$B$5),"")</f>
        <v/>
      </c>
      <c r="M38" s="29" t="str">
        <f aca="false">IFERROR(IF(I38="","",IF((L38-I38)/I38&gt;0.3,"🟢 TAKE PROFIT  +"&amp;TEXT((L38-I38)/I38,"0.0%")&amp;"  — VENDE PARCIAL",IF((L38-I38)/I38&lt;-0.1,"🟡 "&amp;TEXT((L38-I38)/I38,"0.0%")&amp;"  — ZONA DCA  ACUMULA","🔵 "&amp;TEXT((L38-I38)/I38,"0.0%")&amp;"  — HOLDING  MANTÉN"))),"")</f>
        <v/>
      </c>
      <c r="N38" s="2"/>
      <c r="O38" s="2"/>
    </row>
    <row r="39" customFormat="false" ht="21.75" hidden="false" customHeight="true" outlineLevel="0" collapsed="false">
      <c r="A39" s="2"/>
      <c r="B39" s="38"/>
      <c r="C39" s="30"/>
      <c r="D39" s="39" t="str">
        <f aca="false">IFERROR(IF(C39="","",IF(E39="",C39,C39/E39)),"")</f>
        <v/>
      </c>
      <c r="E39" s="31"/>
      <c r="F39" s="32"/>
      <c r="G39" s="33" t="str">
        <f aca="false">IFERROR(IF(D39="","",((D39-H39)/F39)),"")</f>
        <v/>
      </c>
      <c r="H39" s="37"/>
      <c r="I39" s="34" t="str">
        <f aca="false">IFERROR(IF(D39="","",SUM($D$8:D39)),"")</f>
        <v/>
      </c>
      <c r="J39" s="35" t="str">
        <f aca="false">IFERROR(IF(G39="","",SUM($G$8:G39)),"")</f>
        <v/>
      </c>
      <c r="K39" s="32" t="str">
        <f aca="false">IFERROR(IF(J39="","",I39/J39),"")</f>
        <v/>
      </c>
      <c r="L39" s="34" t="str">
        <f aca="false">IFERROR(IF(J39="","",J39*$B$5),"")</f>
        <v/>
      </c>
      <c r="M39" s="36" t="str">
        <f aca="false">IFERROR(IF(I39="","",IF((L39-I39)/I39&gt;0.3,"🟢 TAKE PROFIT  +"&amp;TEXT((L39-I39)/I39,"0.0%")&amp;"  — VENDE PARCIAL",IF((L39-I39)/I39&lt;-0.1,"🟡 "&amp;TEXT((L39-I39)/I39,"0.0%")&amp;"  — ZONA DCA  ACUMULA","🔵 "&amp;TEXT((L39-I39)/I39,"0.0%")&amp;"  — HOLDING  MANTÉN"))),"")</f>
        <v/>
      </c>
      <c r="N39" s="2"/>
      <c r="O39" s="2"/>
    </row>
    <row r="40" customFormat="false" ht="21.75" hidden="false" customHeight="true" outlineLevel="0" collapsed="false">
      <c r="A40" s="2"/>
      <c r="B40" s="20"/>
      <c r="C40" s="21"/>
      <c r="D40" s="22" t="str">
        <f aca="false">IFERROR(IF(C40="","",IF(E40="",C40,C40/E40)),"")</f>
        <v/>
      </c>
      <c r="E40" s="23"/>
      <c r="F40" s="24"/>
      <c r="G40" s="25" t="str">
        <f aca="false">IFERROR(IF(D40="","",((D40-H40)/F40)),"")</f>
        <v/>
      </c>
      <c r="H40" s="26"/>
      <c r="I40" s="27" t="str">
        <f aca="false">IFERROR(IF(D40="","",SUM($D$8:D40)),"")</f>
        <v/>
      </c>
      <c r="J40" s="28" t="str">
        <f aca="false">IFERROR(IF(G40="","",SUM($G$8:G40)),"")</f>
        <v/>
      </c>
      <c r="K40" s="24" t="str">
        <f aca="false">IFERROR(IF(J40="","",I40/J40),"")</f>
        <v/>
      </c>
      <c r="L40" s="27" t="str">
        <f aca="false">IFERROR(IF(J40="","",J40*$B$5),"")</f>
        <v/>
      </c>
      <c r="M40" s="29" t="str">
        <f aca="false">IFERROR(IF(I40="","",IF((L40-I40)/I40&gt;0.3,"🟢 TAKE PROFIT  +"&amp;TEXT((L40-I40)/I40,"0.0%")&amp;"  — VENDE PARCIAL",IF((L40-I40)/I40&lt;-0.1,"🟡 "&amp;TEXT((L40-I40)/I40,"0.0%")&amp;"  — ZONA DCA  ACUMULA","🔵 "&amp;TEXT((L40-I40)/I40,"0.0%")&amp;"  — HOLDING  MANTÉN"))),"")</f>
        <v/>
      </c>
      <c r="N40" s="2"/>
      <c r="O40" s="2"/>
    </row>
    <row r="41" customFormat="false" ht="21.75" hidden="false" customHeight="true" outlineLevel="0" collapsed="false">
      <c r="A41" s="2"/>
      <c r="B41" s="38"/>
      <c r="C41" s="30"/>
      <c r="D41" s="39" t="str">
        <f aca="false">IFERROR(IF(C41="","",IF(E41="",C41,C41/E41)),"")</f>
        <v/>
      </c>
      <c r="E41" s="31"/>
      <c r="F41" s="32"/>
      <c r="G41" s="33" t="str">
        <f aca="false">IFERROR(IF(D41="","",((D41-H41)/F41)),"")</f>
        <v/>
      </c>
      <c r="H41" s="37"/>
      <c r="I41" s="34" t="str">
        <f aca="false">IFERROR(IF(D41="","",SUM($D$8:D41)),"")</f>
        <v/>
      </c>
      <c r="J41" s="35" t="str">
        <f aca="false">IFERROR(IF(G41="","",SUM($G$8:G41)),"")</f>
        <v/>
      </c>
      <c r="K41" s="32" t="str">
        <f aca="false">IFERROR(IF(J41="","",I41/J41),"")</f>
        <v/>
      </c>
      <c r="L41" s="34" t="str">
        <f aca="false">IFERROR(IF(J41="","",J41*$B$5),"")</f>
        <v/>
      </c>
      <c r="M41" s="36" t="str">
        <f aca="false">IFERROR(IF(I41="","",IF((L41-I41)/I41&gt;0.3,"🟢 TAKE PROFIT  +"&amp;TEXT((L41-I41)/I41,"0.0%")&amp;"  — VENDE PARCIAL",IF((L41-I41)/I41&lt;-0.1,"🟡 "&amp;TEXT((L41-I41)/I41,"0.0%")&amp;"  — ZONA DCA  ACUMULA","🔵 "&amp;TEXT((L41-I41)/I41,"0.0%")&amp;"  — HOLDING  MANTÉN"))),"")</f>
        <v/>
      </c>
      <c r="N41" s="2"/>
      <c r="O41" s="2"/>
    </row>
    <row r="42" customFormat="false" ht="21.75" hidden="false" customHeight="true" outlineLevel="0" collapsed="false">
      <c r="A42" s="2"/>
      <c r="B42" s="20"/>
      <c r="C42" s="21"/>
      <c r="D42" s="22" t="str">
        <f aca="false">IFERROR(IF(C42="","",IF(E42="",C42,C42/E42)),"")</f>
        <v/>
      </c>
      <c r="E42" s="23"/>
      <c r="F42" s="24"/>
      <c r="G42" s="25" t="str">
        <f aca="false">IFERROR(IF(D42="","",((D42-H42)/F42)),"")</f>
        <v/>
      </c>
      <c r="H42" s="26"/>
      <c r="I42" s="27" t="str">
        <f aca="false">IFERROR(IF(D42="","",SUM($D$8:D42)),"")</f>
        <v/>
      </c>
      <c r="J42" s="28" t="str">
        <f aca="false">IFERROR(IF(G42="","",SUM($G$8:G42)),"")</f>
        <v/>
      </c>
      <c r="K42" s="24" t="str">
        <f aca="false">IFERROR(IF(J42="","",I42/J42),"")</f>
        <v/>
      </c>
      <c r="L42" s="27" t="str">
        <f aca="false">IFERROR(IF(J42="","",J42*$B$5),"")</f>
        <v/>
      </c>
      <c r="M42" s="29" t="str">
        <f aca="false">IFERROR(IF(I42="","",IF((L42-I42)/I42&gt;0.3,"🟢 TAKE PROFIT  +"&amp;TEXT((L42-I42)/I42,"0.0%")&amp;"  — VENDE PARCIAL",IF((L42-I42)/I42&lt;-0.1,"🟡 "&amp;TEXT((L42-I42)/I42,"0.0%")&amp;"  — ZONA DCA  ACUMULA","🔵 "&amp;TEXT((L42-I42)/I42,"0.0%")&amp;"  — HOLDING  MANTÉN"))),"")</f>
        <v/>
      </c>
      <c r="N42" s="2"/>
      <c r="O42" s="2"/>
    </row>
    <row r="43" customFormat="false" ht="21.75" hidden="false" customHeight="true" outlineLevel="0" collapsed="false">
      <c r="A43" s="2"/>
      <c r="B43" s="38"/>
      <c r="C43" s="30"/>
      <c r="D43" s="39" t="str">
        <f aca="false">IFERROR(IF(C43="","",IF(E43="",C43,C43/E43)),"")</f>
        <v/>
      </c>
      <c r="E43" s="31"/>
      <c r="F43" s="32"/>
      <c r="G43" s="33" t="str">
        <f aca="false">IFERROR(IF(D43="","",((D43-H43)/F43)),"")</f>
        <v/>
      </c>
      <c r="H43" s="37"/>
      <c r="I43" s="34" t="str">
        <f aca="false">IFERROR(IF(D43="","",SUM($D$8:D43)),"")</f>
        <v/>
      </c>
      <c r="J43" s="35" t="str">
        <f aca="false">IFERROR(IF(G43="","",SUM($G$8:G43)),"")</f>
        <v/>
      </c>
      <c r="K43" s="32" t="str">
        <f aca="false">IFERROR(IF(J43="","",I43/J43),"")</f>
        <v/>
      </c>
      <c r="L43" s="34" t="str">
        <f aca="false">IFERROR(IF(J43="","",J43*$B$5),"")</f>
        <v/>
      </c>
      <c r="M43" s="36" t="str">
        <f aca="false">IFERROR(IF(I43="","",IF((L43-I43)/I43&gt;0.3,"🟢 TAKE PROFIT  +"&amp;TEXT((L43-I43)/I43,"0.0%")&amp;"  — VENDE PARCIAL",IF((L43-I43)/I43&lt;-0.1,"🟡 "&amp;TEXT((L43-I43)/I43,"0.0%")&amp;"  — ZONA DCA  ACUMULA","🔵 "&amp;TEXT((L43-I43)/I43,"0.0%")&amp;"  — HOLDING  MANTÉN"))),"")</f>
        <v/>
      </c>
      <c r="N43" s="2"/>
      <c r="O43" s="2"/>
    </row>
    <row r="44" customFormat="false" ht="21.75" hidden="false" customHeight="true" outlineLevel="0" collapsed="false">
      <c r="A44" s="2"/>
      <c r="B44" s="20"/>
      <c r="C44" s="21"/>
      <c r="D44" s="22" t="str">
        <f aca="false">IFERROR(IF(C44="","",IF(E44="",C44,C44/E44)),"")</f>
        <v/>
      </c>
      <c r="E44" s="23"/>
      <c r="F44" s="24"/>
      <c r="G44" s="25" t="str">
        <f aca="false">IFERROR(IF(D44="","",((D44-H44)/F44)),"")</f>
        <v/>
      </c>
      <c r="H44" s="26"/>
      <c r="I44" s="27" t="str">
        <f aca="false">IFERROR(IF(D44="","",SUM($D$8:D44)),"")</f>
        <v/>
      </c>
      <c r="J44" s="28" t="str">
        <f aca="false">IFERROR(IF(G44="","",SUM($G$8:G44)),"")</f>
        <v/>
      </c>
      <c r="K44" s="24" t="str">
        <f aca="false">IFERROR(IF(J44="","",I44/J44),"")</f>
        <v/>
      </c>
      <c r="L44" s="27" t="str">
        <f aca="false">IFERROR(IF(J44="","",J44*$B$5),"")</f>
        <v/>
      </c>
      <c r="M44" s="29" t="str">
        <f aca="false">IFERROR(IF(I44="","",IF((L44-I44)/I44&gt;0.3,"🟢 TAKE PROFIT  +"&amp;TEXT((L44-I44)/I44,"0.0%")&amp;"  — VENDE PARCIAL",IF((L44-I44)/I44&lt;-0.1,"🟡 "&amp;TEXT((L44-I44)/I44,"0.0%")&amp;"  — ZONA DCA  ACUMULA","🔵 "&amp;TEXT((L44-I44)/I44,"0.0%")&amp;"  — HOLDING  MANTÉN"))),"")</f>
        <v/>
      </c>
      <c r="N44" s="2"/>
      <c r="O44" s="2"/>
    </row>
    <row r="45" customFormat="false" ht="21.75" hidden="false" customHeight="true" outlineLevel="0" collapsed="false">
      <c r="A45" s="2"/>
      <c r="B45" s="38"/>
      <c r="C45" s="30"/>
      <c r="D45" s="39" t="str">
        <f aca="false">IFERROR(IF(C45="","",IF(E45="",C45,C45/E45)),"")</f>
        <v/>
      </c>
      <c r="E45" s="31"/>
      <c r="F45" s="32"/>
      <c r="G45" s="33" t="str">
        <f aca="false">IFERROR(IF(D45="","",((D45-H45)/F45)),"")</f>
        <v/>
      </c>
      <c r="H45" s="37"/>
      <c r="I45" s="34" t="str">
        <f aca="false">IFERROR(IF(D45="","",SUM($D$8:D45)),"")</f>
        <v/>
      </c>
      <c r="J45" s="35" t="str">
        <f aca="false">IFERROR(IF(G45="","",SUM($G$8:G45)),"")</f>
        <v/>
      </c>
      <c r="K45" s="32" t="str">
        <f aca="false">IFERROR(IF(J45="","",I45/J45),"")</f>
        <v/>
      </c>
      <c r="L45" s="34" t="str">
        <f aca="false">IFERROR(IF(J45="","",J45*$B$5),"")</f>
        <v/>
      </c>
      <c r="M45" s="36" t="str">
        <f aca="false">IFERROR(IF(I45="","",IF((L45-I45)/I45&gt;0.3,"🟢 TAKE PROFIT  +"&amp;TEXT((L45-I45)/I45,"0.0%")&amp;"  — VENDE PARCIAL",IF((L45-I45)/I45&lt;-0.1,"🟡 "&amp;TEXT((L45-I45)/I45,"0.0%")&amp;"  — ZONA DCA  ACUMULA","🔵 "&amp;TEXT((L45-I45)/I45,"0.0%")&amp;"  — HOLDING  MANTÉN"))),"")</f>
        <v/>
      </c>
      <c r="N45" s="2"/>
      <c r="O45" s="2"/>
    </row>
    <row r="46" customFormat="false" ht="21.75" hidden="false" customHeight="true" outlineLevel="0" collapsed="false">
      <c r="A46" s="2"/>
      <c r="B46" s="20"/>
      <c r="C46" s="21"/>
      <c r="D46" s="22" t="str">
        <f aca="false">IFERROR(IF(C46="","",IF(E46="",C46,C46/E46)),"")</f>
        <v/>
      </c>
      <c r="E46" s="23"/>
      <c r="F46" s="24"/>
      <c r="G46" s="25" t="str">
        <f aca="false">IFERROR(IF(D46="","",((D46-H46)/F46)),"")</f>
        <v/>
      </c>
      <c r="H46" s="26"/>
      <c r="I46" s="27" t="str">
        <f aca="false">IFERROR(IF(D46="","",SUM($D$8:D46)),"")</f>
        <v/>
      </c>
      <c r="J46" s="28" t="str">
        <f aca="false">IFERROR(IF(G46="","",SUM($G$8:G46)),"")</f>
        <v/>
      </c>
      <c r="K46" s="24" t="str">
        <f aca="false">IFERROR(IF(J46="","",I46/J46),"")</f>
        <v/>
      </c>
      <c r="L46" s="27" t="str">
        <f aca="false">IFERROR(IF(J46="","",J46*$B$5),"")</f>
        <v/>
      </c>
      <c r="M46" s="29" t="str">
        <f aca="false">IFERROR(IF(I46="","",IF((L46-I46)/I46&gt;0.3,"🟢 TAKE PROFIT  +"&amp;TEXT((L46-I46)/I46,"0.0%")&amp;"  — VENDE PARCIAL",IF((L46-I46)/I46&lt;-0.1,"🟡 "&amp;TEXT((L46-I46)/I46,"0.0%")&amp;"  — ZONA DCA  ACUMULA","🔵 "&amp;TEXT((L46-I46)/I46,"0.0%")&amp;"  — HOLDING  MANTÉN"))),"")</f>
        <v/>
      </c>
      <c r="N46" s="2"/>
      <c r="O46" s="2"/>
    </row>
    <row r="47" customFormat="false" ht="21.75" hidden="false" customHeight="true" outlineLevel="0" collapsed="false">
      <c r="A47" s="2"/>
      <c r="B47" s="38"/>
      <c r="C47" s="30"/>
      <c r="D47" s="39" t="str">
        <f aca="false">IFERROR(IF(C47="","",IF(E47="",C47,C47/E47)),"")</f>
        <v/>
      </c>
      <c r="E47" s="31"/>
      <c r="F47" s="32"/>
      <c r="G47" s="33" t="str">
        <f aca="false">IFERROR(IF(D47="","",((D47-H47)/F47)),"")</f>
        <v/>
      </c>
      <c r="H47" s="37"/>
      <c r="I47" s="34" t="str">
        <f aca="false">IFERROR(IF(D47="","",SUM($D$8:D47)),"")</f>
        <v/>
      </c>
      <c r="J47" s="35" t="str">
        <f aca="false">IFERROR(IF(G47="","",SUM($G$8:G47)),"")</f>
        <v/>
      </c>
      <c r="K47" s="32" t="str">
        <f aca="false">IFERROR(IF(J47="","",I47/J47),"")</f>
        <v/>
      </c>
      <c r="L47" s="34" t="str">
        <f aca="false">IFERROR(IF(J47="","",J47*$B$5),"")</f>
        <v/>
      </c>
      <c r="M47" s="36" t="str">
        <f aca="false">IFERROR(IF(I47="","",IF((L47-I47)/I47&gt;0.3,"🟢 TAKE PROFIT  +"&amp;TEXT((L47-I47)/I47,"0.0%")&amp;"  — VENDE PARCIAL",IF((L47-I47)/I47&lt;-0.1,"🟡 "&amp;TEXT((L47-I47)/I47,"0.0%")&amp;"  — ZONA DCA  ACUMULA","🔵 "&amp;TEXT((L47-I47)/I47,"0.0%")&amp;"  — HOLDING  MANTÉN"))),"")</f>
        <v/>
      </c>
      <c r="N47" s="2"/>
      <c r="O47" s="2"/>
    </row>
    <row r="48" customFormat="false" ht="21.75" hidden="false" customHeight="true" outlineLevel="0" collapsed="false">
      <c r="A48" s="2"/>
      <c r="B48" s="20"/>
      <c r="C48" s="21"/>
      <c r="D48" s="22" t="str">
        <f aca="false">IFERROR(IF(C48="","",IF(E48="",C48,C48/E48)),"")</f>
        <v/>
      </c>
      <c r="E48" s="23"/>
      <c r="F48" s="24"/>
      <c r="G48" s="25" t="str">
        <f aca="false">IFERROR(IF(D48="","",((D48-H48)/F48)),"")</f>
        <v/>
      </c>
      <c r="H48" s="26"/>
      <c r="I48" s="27" t="str">
        <f aca="false">IFERROR(IF(D48="","",SUM($D$8:D48)),"")</f>
        <v/>
      </c>
      <c r="J48" s="28" t="str">
        <f aca="false">IFERROR(IF(G48="","",SUM($G$8:G48)),"")</f>
        <v/>
      </c>
      <c r="K48" s="24" t="str">
        <f aca="false">IFERROR(IF(J48="","",I48/J48),"")</f>
        <v/>
      </c>
      <c r="L48" s="27" t="str">
        <f aca="false">IFERROR(IF(J48="","",J48*$B$5),"")</f>
        <v/>
      </c>
      <c r="M48" s="29" t="str">
        <f aca="false">IFERROR(IF(I48="","",IF((L48-I48)/I48&gt;0.3,"🟢 TAKE PROFIT  +"&amp;TEXT((L48-I48)/I48,"0.0%")&amp;"  — VENDE PARCIAL",IF((L48-I48)/I48&lt;-0.1,"🟡 "&amp;TEXT((L48-I48)/I48,"0.0%")&amp;"  — ZONA DCA  ACUMULA","🔵 "&amp;TEXT((L48-I48)/I48,"0.0%")&amp;"  — HOLDING  MANTÉN"))),"")</f>
        <v/>
      </c>
      <c r="N48" s="2"/>
      <c r="O48" s="2"/>
    </row>
    <row r="49" customFormat="false" ht="21.75" hidden="false" customHeight="true" outlineLevel="0" collapsed="false">
      <c r="A49" s="2"/>
      <c r="B49" s="38"/>
      <c r="C49" s="30"/>
      <c r="D49" s="39" t="str">
        <f aca="false">IFERROR(IF(C49="","",IF(E49="",C49,C49/E49)),"")</f>
        <v/>
      </c>
      <c r="E49" s="31"/>
      <c r="F49" s="32"/>
      <c r="G49" s="33" t="str">
        <f aca="false">IFERROR(IF(D49="","",((D49-H49)/F49)),"")</f>
        <v/>
      </c>
      <c r="H49" s="37"/>
      <c r="I49" s="34" t="str">
        <f aca="false">IFERROR(IF(D49="","",SUM($D$8:D49)),"")</f>
        <v/>
      </c>
      <c r="J49" s="35" t="str">
        <f aca="false">IFERROR(IF(G49="","",SUM($G$8:G49)),"")</f>
        <v/>
      </c>
      <c r="K49" s="32" t="str">
        <f aca="false">IFERROR(IF(J49="","",I49/J49),"")</f>
        <v/>
      </c>
      <c r="L49" s="34" t="str">
        <f aca="false">IFERROR(IF(J49="","",J49*$B$5),"")</f>
        <v/>
      </c>
      <c r="M49" s="36" t="str">
        <f aca="false">IFERROR(IF(I49="","",IF((L49-I49)/I49&gt;0.3,"🟢 TAKE PROFIT  +"&amp;TEXT((L49-I49)/I49,"0.0%")&amp;"  — VENDE PARCIAL",IF((L49-I49)/I49&lt;-0.1,"🟡 "&amp;TEXT((L49-I49)/I49,"0.0%")&amp;"  — ZONA DCA  ACUMULA","🔵 "&amp;TEXT((L49-I49)/I49,"0.0%")&amp;"  — HOLDING  MANTÉN"))),"")</f>
        <v/>
      </c>
      <c r="N49" s="2"/>
      <c r="O49" s="2"/>
    </row>
    <row r="50" customFormat="false" ht="21.75" hidden="false" customHeight="true" outlineLevel="0" collapsed="false">
      <c r="A50" s="2"/>
      <c r="B50" s="20"/>
      <c r="C50" s="21"/>
      <c r="D50" s="22" t="str">
        <f aca="false">IFERROR(IF(C50="","",IF(E50="",C50,C50/E50)),"")</f>
        <v/>
      </c>
      <c r="E50" s="23"/>
      <c r="F50" s="24"/>
      <c r="G50" s="25" t="str">
        <f aca="false">IFERROR(IF(D50="","",((D50-H50)/F50)),"")</f>
        <v/>
      </c>
      <c r="H50" s="26"/>
      <c r="I50" s="27" t="str">
        <f aca="false">IFERROR(IF(D50="","",SUM($D$8:D50)),"")</f>
        <v/>
      </c>
      <c r="J50" s="28" t="str">
        <f aca="false">IFERROR(IF(G50="","",SUM($G$8:G50)),"")</f>
        <v/>
      </c>
      <c r="K50" s="24" t="str">
        <f aca="false">IFERROR(IF(J50="","",I50/J50),"")</f>
        <v/>
      </c>
      <c r="L50" s="27" t="str">
        <f aca="false">IFERROR(IF(J50="","",J50*$B$5),"")</f>
        <v/>
      </c>
      <c r="M50" s="29" t="str">
        <f aca="false">IFERROR(IF(I50="","",IF((L50-I50)/I50&gt;0.3,"🟢 TAKE PROFIT  +"&amp;TEXT((L50-I50)/I50,"0.0%")&amp;"  — VENDE PARCIAL",IF((L50-I50)/I50&lt;-0.1,"🟡 "&amp;TEXT((L50-I50)/I50,"0.0%")&amp;"  — ZONA DCA  ACUMULA","🔵 "&amp;TEXT((L50-I50)/I50,"0.0%")&amp;"  — HOLDING  MANTÉN"))),"")</f>
        <v/>
      </c>
      <c r="N50" s="2"/>
      <c r="O50" s="2"/>
    </row>
    <row r="51" customFormat="false" ht="21.75" hidden="false" customHeight="true" outlineLevel="0" collapsed="false">
      <c r="A51" s="2"/>
      <c r="B51" s="38"/>
      <c r="C51" s="30"/>
      <c r="D51" s="39" t="str">
        <f aca="false">IFERROR(IF(C51="","",IF(E51="",C51,C51/E51)),"")</f>
        <v/>
      </c>
      <c r="E51" s="31"/>
      <c r="F51" s="32"/>
      <c r="G51" s="33" t="str">
        <f aca="false">IFERROR(IF(D51="","",((D51-H51)/F51)),"")</f>
        <v/>
      </c>
      <c r="H51" s="37"/>
      <c r="I51" s="34" t="str">
        <f aca="false">IFERROR(IF(D51="","",SUM($D$8:D51)),"")</f>
        <v/>
      </c>
      <c r="J51" s="35" t="str">
        <f aca="false">IFERROR(IF(G51="","",SUM($G$8:G51)),"")</f>
        <v/>
      </c>
      <c r="K51" s="32" t="str">
        <f aca="false">IFERROR(IF(J51="","",I51/J51),"")</f>
        <v/>
      </c>
      <c r="L51" s="34" t="str">
        <f aca="false">IFERROR(IF(J51="","",J51*$B$5),"")</f>
        <v/>
      </c>
      <c r="M51" s="36" t="str">
        <f aca="false">IFERROR(IF(I51="","",IF((L51-I51)/I51&gt;0.3,"🟢 TAKE PROFIT  +"&amp;TEXT((L51-I51)/I51,"0.0%")&amp;"  — VENDE PARCIAL",IF((L51-I51)/I51&lt;-0.1,"🟡 "&amp;TEXT((L51-I51)/I51,"0.0%")&amp;"  — ZONA DCA  ACUMULA","🔵 "&amp;TEXT((L51-I51)/I51,"0.0%")&amp;"  — HOLDING  MANTÉN"))),"")</f>
        <v/>
      </c>
      <c r="N51" s="2"/>
      <c r="O51" s="2"/>
    </row>
    <row r="52" customFormat="false" ht="21.75" hidden="false" customHeight="true" outlineLevel="0" collapsed="false">
      <c r="A52" s="2"/>
      <c r="B52" s="20"/>
      <c r="C52" s="21"/>
      <c r="D52" s="22" t="str">
        <f aca="false">IFERROR(IF(C52="","",IF(E52="",C52,C52/E52)),"")</f>
        <v/>
      </c>
      <c r="E52" s="23"/>
      <c r="F52" s="24"/>
      <c r="G52" s="25" t="str">
        <f aca="false">IFERROR(IF(D52="","",((D52-H52)/F52)),"")</f>
        <v/>
      </c>
      <c r="H52" s="26"/>
      <c r="I52" s="27" t="str">
        <f aca="false">IFERROR(IF(D52="","",SUM($D$8:D52)),"")</f>
        <v/>
      </c>
      <c r="J52" s="28" t="str">
        <f aca="false">IFERROR(IF(G52="","",SUM($G$8:G52)),"")</f>
        <v/>
      </c>
      <c r="K52" s="24" t="str">
        <f aca="false">IFERROR(IF(J52="","",I52/J52),"")</f>
        <v/>
      </c>
      <c r="L52" s="27" t="str">
        <f aca="false">IFERROR(IF(J52="","",J52*$B$5),"")</f>
        <v/>
      </c>
      <c r="M52" s="29" t="str">
        <f aca="false">IFERROR(IF(I52="","",IF((L52-I52)/I52&gt;0.3,"🟢 TAKE PROFIT  +"&amp;TEXT((L52-I52)/I52,"0.0%")&amp;"  — VENDE PARCIAL",IF((L52-I52)/I52&lt;-0.1,"🟡 "&amp;TEXT((L52-I52)/I52,"0.0%")&amp;"  — ZONA DCA  ACUMULA","🔵 "&amp;TEXT((L52-I52)/I52,"0.0%")&amp;"  — HOLDING  MANTÉN"))),"")</f>
        <v/>
      </c>
      <c r="N52" s="2"/>
      <c r="O52" s="2"/>
    </row>
    <row r="53" customFormat="false" ht="21.75" hidden="false" customHeight="true" outlineLevel="0" collapsed="false">
      <c r="A53" s="2"/>
      <c r="B53" s="38"/>
      <c r="C53" s="30"/>
      <c r="D53" s="39" t="str">
        <f aca="false">IFERROR(IF(C53="","",IF(E53="",C53,C53/E53)),"")</f>
        <v/>
      </c>
      <c r="E53" s="31"/>
      <c r="F53" s="32"/>
      <c r="G53" s="33" t="str">
        <f aca="false">IFERROR(IF(D53="","",((D53-H53)/F53)),"")</f>
        <v/>
      </c>
      <c r="H53" s="37"/>
      <c r="I53" s="34" t="str">
        <f aca="false">IFERROR(IF(D53="","",SUM($D$8:D53)),"")</f>
        <v/>
      </c>
      <c r="J53" s="35" t="str">
        <f aca="false">IFERROR(IF(G53="","",SUM($G$8:G53)),"")</f>
        <v/>
      </c>
      <c r="K53" s="32" t="str">
        <f aca="false">IFERROR(IF(J53="","",I53/J53),"")</f>
        <v/>
      </c>
      <c r="L53" s="34" t="str">
        <f aca="false">IFERROR(IF(J53="","",J53*$B$5),"")</f>
        <v/>
      </c>
      <c r="M53" s="36" t="str">
        <f aca="false">IFERROR(IF(I53="","",IF((L53-I53)/I53&gt;0.3,"🟢 TAKE PROFIT  +"&amp;TEXT((L53-I53)/I53,"0.0%")&amp;"  — VENDE PARCIAL",IF((L53-I53)/I53&lt;-0.1,"🟡 "&amp;TEXT((L53-I53)/I53,"0.0%")&amp;"  — ZONA DCA  ACUMULA","🔵 "&amp;TEXT((L53-I53)/I53,"0.0%")&amp;"  — HOLDING  MANTÉN"))),"")</f>
        <v/>
      </c>
      <c r="N53" s="2"/>
      <c r="O53" s="2"/>
    </row>
    <row r="54" customFormat="false" ht="21.75" hidden="false" customHeight="true" outlineLevel="0" collapsed="false">
      <c r="A54" s="2"/>
      <c r="B54" s="20"/>
      <c r="C54" s="21"/>
      <c r="D54" s="22" t="str">
        <f aca="false">IFERROR(IF(C54="","",IF(E54="",C54,C54/E54)),"")</f>
        <v/>
      </c>
      <c r="E54" s="23"/>
      <c r="F54" s="24"/>
      <c r="G54" s="25" t="str">
        <f aca="false">IFERROR(IF(D54="","",((D54-H54)/F54)),"")</f>
        <v/>
      </c>
      <c r="H54" s="26"/>
      <c r="I54" s="27" t="str">
        <f aca="false">IFERROR(IF(D54="","",SUM($D$8:D54)),"")</f>
        <v/>
      </c>
      <c r="J54" s="28" t="str">
        <f aca="false">IFERROR(IF(G54="","",SUM($G$8:G54)),"")</f>
        <v/>
      </c>
      <c r="K54" s="24" t="str">
        <f aca="false">IFERROR(IF(J54="","",I54/J54),"")</f>
        <v/>
      </c>
      <c r="L54" s="27" t="str">
        <f aca="false">IFERROR(IF(J54="","",J54*$B$5),"")</f>
        <v/>
      </c>
      <c r="M54" s="29" t="str">
        <f aca="false">IFERROR(IF(I54="","",IF((L54-I54)/I54&gt;0.3,"🟢 TAKE PROFIT  +"&amp;TEXT((L54-I54)/I54,"0.0%")&amp;"  — VENDE PARCIAL",IF((L54-I54)/I54&lt;-0.1,"🟡 "&amp;TEXT((L54-I54)/I54,"0.0%")&amp;"  — ZONA DCA  ACUMULA","🔵 "&amp;TEXT((L54-I54)/I54,"0.0%")&amp;"  — HOLDING  MANTÉN"))),"")</f>
        <v/>
      </c>
      <c r="N54" s="2"/>
      <c r="O54" s="2"/>
    </row>
    <row r="55" customFormat="false" ht="21.75" hidden="false" customHeight="true" outlineLevel="0" collapsed="false">
      <c r="A55" s="2"/>
      <c r="B55" s="38"/>
      <c r="C55" s="30"/>
      <c r="D55" s="39" t="str">
        <f aca="false">IFERROR(IF(C55="","",IF(E55="",C55,C55/E55)),"")</f>
        <v/>
      </c>
      <c r="E55" s="31"/>
      <c r="F55" s="32"/>
      <c r="G55" s="33" t="str">
        <f aca="false">IFERROR(IF(D55="","",((D55-H55)/F55)),"")</f>
        <v/>
      </c>
      <c r="H55" s="37"/>
      <c r="I55" s="34" t="str">
        <f aca="false">IFERROR(IF(D55="","",SUM($D$8:D55)),"")</f>
        <v/>
      </c>
      <c r="J55" s="35" t="str">
        <f aca="false">IFERROR(IF(G55="","",SUM($G$8:G55)),"")</f>
        <v/>
      </c>
      <c r="K55" s="32" t="str">
        <f aca="false">IFERROR(IF(J55="","",I55/J55),"")</f>
        <v/>
      </c>
      <c r="L55" s="34" t="str">
        <f aca="false">IFERROR(IF(J55="","",J55*$B$5),"")</f>
        <v/>
      </c>
      <c r="M55" s="36" t="str">
        <f aca="false">IFERROR(IF(I55="","",IF((L55-I55)/I55&gt;0.3,"🟢 TAKE PROFIT  +"&amp;TEXT((L55-I55)/I55,"0.0%")&amp;"  — VENDE PARCIAL",IF((L55-I55)/I55&lt;-0.1,"🟡 "&amp;TEXT((L55-I55)/I55,"0.0%")&amp;"  — ZONA DCA  ACUMULA","🔵 "&amp;TEXT((L55-I55)/I55,"0.0%")&amp;"  — HOLDING  MANTÉN"))),"")</f>
        <v/>
      </c>
      <c r="N55" s="2"/>
      <c r="O55" s="2"/>
    </row>
    <row r="56" customFormat="false" ht="21.75" hidden="false" customHeight="true" outlineLevel="0" collapsed="false">
      <c r="A56" s="2"/>
      <c r="B56" s="20"/>
      <c r="C56" s="21"/>
      <c r="D56" s="22" t="str">
        <f aca="false">IFERROR(IF(C56="","",IF(E56="",C56,C56/E56)),"")</f>
        <v/>
      </c>
      <c r="E56" s="23"/>
      <c r="F56" s="24"/>
      <c r="G56" s="25" t="str">
        <f aca="false">IFERROR(IF(D56="","",((D56-H56)/F56)),"")</f>
        <v/>
      </c>
      <c r="H56" s="26"/>
      <c r="I56" s="27" t="str">
        <f aca="false">IFERROR(IF(D56="","",SUM($D$8:D56)),"")</f>
        <v/>
      </c>
      <c r="J56" s="28" t="str">
        <f aca="false">IFERROR(IF(G56="","",SUM($G$8:G56)),"")</f>
        <v/>
      </c>
      <c r="K56" s="24" t="str">
        <f aca="false">IFERROR(IF(J56="","",I56/J56),"")</f>
        <v/>
      </c>
      <c r="L56" s="27" t="str">
        <f aca="false">IFERROR(IF(J56="","",J56*$B$5),"")</f>
        <v/>
      </c>
      <c r="M56" s="29" t="str">
        <f aca="false">IFERROR(IF(I56="","",IF((L56-I56)/I56&gt;0.3,"🟢 TAKE PROFIT  +"&amp;TEXT((L56-I56)/I56,"0.0%")&amp;"  — VENDE PARCIAL",IF((L56-I56)/I56&lt;-0.1,"🟡 "&amp;TEXT((L56-I56)/I56,"0.0%")&amp;"  — ZONA DCA  ACUMULA","🔵 "&amp;TEXT((L56-I56)/I56,"0.0%")&amp;"  — HOLDING  MANTÉN"))),"")</f>
        <v/>
      </c>
      <c r="N56" s="2"/>
      <c r="O56" s="2"/>
    </row>
    <row r="57" customFormat="false" ht="21.75" hidden="false" customHeight="true" outlineLevel="0" collapsed="false">
      <c r="A57" s="2"/>
      <c r="B57" s="38"/>
      <c r="C57" s="30"/>
      <c r="D57" s="39" t="str">
        <f aca="false">IFERROR(IF(C57="","",IF(E57="",C57,C57/E57)),"")</f>
        <v/>
      </c>
      <c r="E57" s="31"/>
      <c r="F57" s="32"/>
      <c r="G57" s="33" t="str">
        <f aca="false">IFERROR(IF(D57="","",((D57-H57)/F57)),"")</f>
        <v/>
      </c>
      <c r="H57" s="37"/>
      <c r="I57" s="34" t="str">
        <f aca="false">IFERROR(IF(D57="","",SUM($D$8:D57)),"")</f>
        <v/>
      </c>
      <c r="J57" s="35" t="str">
        <f aca="false">IFERROR(IF(G57="","",SUM($G$8:G57)),"")</f>
        <v/>
      </c>
      <c r="K57" s="32" t="str">
        <f aca="false">IFERROR(IF(J57="","",I57/J57),"")</f>
        <v/>
      </c>
      <c r="L57" s="34" t="str">
        <f aca="false">IFERROR(IF(J57="","",J57*$B$5),"")</f>
        <v/>
      </c>
      <c r="M57" s="36" t="str">
        <f aca="false">IFERROR(IF(I57="","",IF((L57-I57)/I57&gt;0.3,"🟢 TAKE PROFIT  +"&amp;TEXT((L57-I57)/I57,"0.0%")&amp;"  — VENDE PARCIAL",IF((L57-I57)/I57&lt;-0.1,"🟡 "&amp;TEXT((L57-I57)/I57,"0.0%")&amp;"  — ZONA DCA  ACUMULA","🔵 "&amp;TEXT((L57-I57)/I57,"0.0%")&amp;"  — HOLDING  MANTÉN"))),"")</f>
        <v/>
      </c>
      <c r="N57" s="2"/>
      <c r="O57" s="2"/>
    </row>
    <row r="58" customFormat="false" ht="21.75" hidden="false" customHeight="true" outlineLevel="0" collapsed="false">
      <c r="A58" s="2"/>
      <c r="B58" s="20"/>
      <c r="C58" s="21"/>
      <c r="D58" s="22" t="str">
        <f aca="false">IFERROR(IF(C58="","",IF(E58="",C58,C58/E58)),"")</f>
        <v/>
      </c>
      <c r="E58" s="23"/>
      <c r="F58" s="24"/>
      <c r="G58" s="25" t="str">
        <f aca="false">IFERROR(IF(D58="","",((D58-H58)/F58)),"")</f>
        <v/>
      </c>
      <c r="H58" s="26"/>
      <c r="I58" s="27" t="str">
        <f aca="false">IFERROR(IF(D58="","",SUM($D$8:D58)),"")</f>
        <v/>
      </c>
      <c r="J58" s="28" t="str">
        <f aca="false">IFERROR(IF(G58="","",SUM($G$8:G58)),"")</f>
        <v/>
      </c>
      <c r="K58" s="24" t="str">
        <f aca="false">IFERROR(IF(J58="","",I58/J58),"")</f>
        <v/>
      </c>
      <c r="L58" s="27" t="str">
        <f aca="false">IFERROR(IF(J58="","",J58*$B$5),"")</f>
        <v/>
      </c>
      <c r="M58" s="29" t="str">
        <f aca="false">IFERROR(IF(I58="","",IF((L58-I58)/I58&gt;0.3,"🟢 TAKE PROFIT  +"&amp;TEXT((L58-I58)/I58,"0.0%")&amp;"  — VENDE PARCIAL",IF((L58-I58)/I58&lt;-0.1,"🟡 "&amp;TEXT((L58-I58)/I58,"0.0%")&amp;"  — ZONA DCA  ACUMULA","🔵 "&amp;TEXT((L58-I58)/I58,"0.0%")&amp;"  — HOLDING  MANTÉN"))),"")</f>
        <v/>
      </c>
      <c r="N58" s="2"/>
      <c r="O58" s="2"/>
    </row>
    <row r="59" customFormat="false" ht="21.75" hidden="false" customHeight="true" outlineLevel="0" collapsed="false">
      <c r="A59" s="2"/>
      <c r="B59" s="38"/>
      <c r="C59" s="30"/>
      <c r="D59" s="39" t="str">
        <f aca="false">IFERROR(IF(C59="","",IF(E59="",C59,C59/E59)),"")</f>
        <v/>
      </c>
      <c r="E59" s="31"/>
      <c r="F59" s="32"/>
      <c r="G59" s="33" t="str">
        <f aca="false">IFERROR(IF(D59="","",((D59-H59)/F59)),"")</f>
        <v/>
      </c>
      <c r="H59" s="37"/>
      <c r="I59" s="34" t="str">
        <f aca="false">IFERROR(IF(D59="","",SUM($D$8:D59)),"")</f>
        <v/>
      </c>
      <c r="J59" s="35" t="str">
        <f aca="false">IFERROR(IF(G59="","",SUM($G$8:G59)),"")</f>
        <v/>
      </c>
      <c r="K59" s="32" t="str">
        <f aca="false">IFERROR(IF(J59="","",I59/J59),"")</f>
        <v/>
      </c>
      <c r="L59" s="34" t="str">
        <f aca="false">IFERROR(IF(J59="","",J59*$B$5),"")</f>
        <v/>
      </c>
      <c r="M59" s="36" t="str">
        <f aca="false">IFERROR(IF(I59="","",IF((L59-I59)/I59&gt;0.3,"🟢 TAKE PROFIT  +"&amp;TEXT((L59-I59)/I59,"0.0%")&amp;"  — VENDE PARCIAL",IF((L59-I59)/I59&lt;-0.1,"🟡 "&amp;TEXT((L59-I59)/I59,"0.0%")&amp;"  — ZONA DCA  ACUMULA","🔵 "&amp;TEXT((L59-I59)/I59,"0.0%")&amp;"  — HOLDING  MANTÉN"))),"")</f>
        <v/>
      </c>
      <c r="N59" s="2"/>
      <c r="O59" s="2"/>
    </row>
    <row r="60" customFormat="false" ht="21.75" hidden="false" customHeight="true" outlineLevel="0" collapsed="false">
      <c r="A60" s="2"/>
      <c r="B60" s="20"/>
      <c r="C60" s="21"/>
      <c r="D60" s="22" t="str">
        <f aca="false">IFERROR(IF(C60="","",IF(E60="",C60,C60/E60)),"")</f>
        <v/>
      </c>
      <c r="E60" s="23"/>
      <c r="F60" s="24"/>
      <c r="G60" s="25" t="str">
        <f aca="false">IFERROR(IF(D60="","",((D60-H60)/F60)),"")</f>
        <v/>
      </c>
      <c r="H60" s="26"/>
      <c r="I60" s="27" t="str">
        <f aca="false">IFERROR(IF(D60="","",SUM($D$8:D60)),"")</f>
        <v/>
      </c>
      <c r="J60" s="28" t="str">
        <f aca="false">IFERROR(IF(G60="","",SUM($G$8:G60)),"")</f>
        <v/>
      </c>
      <c r="K60" s="24" t="str">
        <f aca="false">IFERROR(IF(J60="","",I60/J60),"")</f>
        <v/>
      </c>
      <c r="L60" s="27" t="str">
        <f aca="false">IFERROR(IF(J60="","",J60*$B$5),"")</f>
        <v/>
      </c>
      <c r="M60" s="29" t="str">
        <f aca="false">IFERROR(IF(I60="","",IF((L60-I60)/I60&gt;0.3,"🟢 TAKE PROFIT  +"&amp;TEXT((L60-I60)/I60,"0.0%")&amp;"  — VENDE PARCIAL",IF((L60-I60)/I60&lt;-0.1,"🟡 "&amp;TEXT((L60-I60)/I60,"0.0%")&amp;"  — ZONA DCA  ACUMULA","🔵 "&amp;TEXT((L60-I60)/I60,"0.0%")&amp;"  — HOLDING  MANTÉN"))),"")</f>
        <v/>
      </c>
      <c r="N60" s="2"/>
      <c r="O60" s="2"/>
    </row>
    <row r="61" customFormat="false" ht="21.75" hidden="false" customHeight="true" outlineLevel="0" collapsed="false">
      <c r="A61" s="2"/>
      <c r="B61" s="38"/>
      <c r="C61" s="30"/>
      <c r="D61" s="39" t="str">
        <f aca="false">IFERROR(IF(C61="","",IF(E61="",C61,C61/E61)),"")</f>
        <v/>
      </c>
      <c r="E61" s="31"/>
      <c r="F61" s="32"/>
      <c r="G61" s="33" t="str">
        <f aca="false">IFERROR(IF(D61="","",((D61-H61)/F61)),"")</f>
        <v/>
      </c>
      <c r="H61" s="37"/>
      <c r="I61" s="34" t="str">
        <f aca="false">IFERROR(IF(D61="","",SUM($D$8:D61)),"")</f>
        <v/>
      </c>
      <c r="J61" s="35" t="str">
        <f aca="false">IFERROR(IF(G61="","",SUM($G$8:G61)),"")</f>
        <v/>
      </c>
      <c r="K61" s="32" t="str">
        <f aca="false">IFERROR(IF(J61="","",I61/J61),"")</f>
        <v/>
      </c>
      <c r="L61" s="34" t="str">
        <f aca="false">IFERROR(IF(J61="","",J61*$B$5),"")</f>
        <v/>
      </c>
      <c r="M61" s="36" t="str">
        <f aca="false">IFERROR(IF(I61="","",IF((L61-I61)/I61&gt;0.3,"🟢 TAKE PROFIT  +"&amp;TEXT((L61-I61)/I61,"0.0%")&amp;"  — VENDE PARCIAL",IF((L61-I61)/I61&lt;-0.1,"🟡 "&amp;TEXT((L61-I61)/I61,"0.0%")&amp;"  — ZONA DCA  ACUMULA","🔵 "&amp;TEXT((L61-I61)/I61,"0.0%")&amp;"  — HOLDING  MANTÉN"))),"")</f>
        <v/>
      </c>
      <c r="N61" s="2"/>
      <c r="O61" s="2"/>
    </row>
    <row r="62" customFormat="false" ht="21.75" hidden="false" customHeight="true" outlineLevel="0" collapsed="false">
      <c r="A62" s="2"/>
      <c r="B62" s="20"/>
      <c r="C62" s="21"/>
      <c r="D62" s="22" t="str">
        <f aca="false">IFERROR(IF(C62="","",IF(E62="",C62,C62/E62)),"")</f>
        <v/>
      </c>
      <c r="E62" s="23"/>
      <c r="F62" s="24"/>
      <c r="G62" s="25" t="str">
        <f aca="false">IFERROR(IF(D62="","",((D62-H62)/F62)),"")</f>
        <v/>
      </c>
      <c r="H62" s="26"/>
      <c r="I62" s="27" t="str">
        <f aca="false">IFERROR(IF(D62="","",SUM($D$8:D62)),"")</f>
        <v/>
      </c>
      <c r="J62" s="28" t="str">
        <f aca="false">IFERROR(IF(G62="","",SUM($G$8:G62)),"")</f>
        <v/>
      </c>
      <c r="K62" s="24" t="str">
        <f aca="false">IFERROR(IF(J62="","",I62/J62),"")</f>
        <v/>
      </c>
      <c r="L62" s="27" t="str">
        <f aca="false">IFERROR(IF(J62="","",J62*$B$5),"")</f>
        <v/>
      </c>
      <c r="M62" s="29" t="str">
        <f aca="false">IFERROR(IF(I62="","",IF((L62-I62)/I62&gt;0.3,"🟢 TAKE PROFIT  +"&amp;TEXT((L62-I62)/I62,"0.0%")&amp;"  — VENDE PARCIAL",IF((L62-I62)/I62&lt;-0.1,"🟡 "&amp;TEXT((L62-I62)/I62,"0.0%")&amp;"  — ZONA DCA  ACUMULA","🔵 "&amp;TEXT((L62-I62)/I62,"0.0%")&amp;"  — HOLDING  MANTÉN"))),"")</f>
        <v/>
      </c>
      <c r="N62" s="2"/>
      <c r="O62" s="2"/>
    </row>
    <row r="63" customFormat="false" ht="21.75" hidden="false" customHeight="true" outlineLevel="0" collapsed="false">
      <c r="A63" s="2"/>
      <c r="B63" s="38"/>
      <c r="C63" s="30"/>
      <c r="D63" s="39" t="str">
        <f aca="false">IFERROR(IF(C63="","",IF(E63="",C63,C63/E63)),"")</f>
        <v/>
      </c>
      <c r="E63" s="31"/>
      <c r="F63" s="32"/>
      <c r="G63" s="33" t="str">
        <f aca="false">IFERROR(IF(D63="","",((D63-H63)/F63)),"")</f>
        <v/>
      </c>
      <c r="H63" s="37"/>
      <c r="I63" s="34" t="str">
        <f aca="false">IFERROR(IF(D63="","",SUM($D$8:D63)),"")</f>
        <v/>
      </c>
      <c r="J63" s="35" t="str">
        <f aca="false">IFERROR(IF(G63="","",SUM($G$8:G63)),"")</f>
        <v/>
      </c>
      <c r="K63" s="32" t="str">
        <f aca="false">IFERROR(IF(J63="","",I63/J63),"")</f>
        <v/>
      </c>
      <c r="L63" s="34" t="str">
        <f aca="false">IFERROR(IF(J63="","",J63*$B$5),"")</f>
        <v/>
      </c>
      <c r="M63" s="36" t="str">
        <f aca="false">IFERROR(IF(I63="","",IF((L63-I63)/I63&gt;0.3,"🟢 TAKE PROFIT  +"&amp;TEXT((L63-I63)/I63,"0.0%")&amp;"  — VENDE PARCIAL",IF((L63-I63)/I63&lt;-0.1,"🟡 "&amp;TEXT((L63-I63)/I63,"0.0%")&amp;"  — ZONA DCA  ACUMULA","🔵 "&amp;TEXT((L63-I63)/I63,"0.0%")&amp;"  — HOLDING  MANTÉN"))),"")</f>
        <v/>
      </c>
      <c r="N63" s="2"/>
      <c r="O63" s="2"/>
    </row>
    <row r="64" customFormat="false" ht="21.75" hidden="false" customHeight="true" outlineLevel="0" collapsed="false">
      <c r="A64" s="2"/>
      <c r="B64" s="20"/>
      <c r="C64" s="21"/>
      <c r="D64" s="22" t="str">
        <f aca="false">IFERROR(IF(C64="","",IF(E64="",C64,C64/E64)),"")</f>
        <v/>
      </c>
      <c r="E64" s="23"/>
      <c r="F64" s="24"/>
      <c r="G64" s="25" t="str">
        <f aca="false">IFERROR(IF(D64="","",((D64-H64)/F64)),"")</f>
        <v/>
      </c>
      <c r="H64" s="26"/>
      <c r="I64" s="27" t="str">
        <f aca="false">IFERROR(IF(D64="","",SUM($D$8:D64)),"")</f>
        <v/>
      </c>
      <c r="J64" s="28" t="str">
        <f aca="false">IFERROR(IF(G64="","",SUM($G$8:G64)),"")</f>
        <v/>
      </c>
      <c r="K64" s="24" t="str">
        <f aca="false">IFERROR(IF(J64="","",I64/J64),"")</f>
        <v/>
      </c>
      <c r="L64" s="27" t="str">
        <f aca="false">IFERROR(IF(J64="","",J64*$B$5),"")</f>
        <v/>
      </c>
      <c r="M64" s="29" t="str">
        <f aca="false">IFERROR(IF(I64="","",IF((L64-I64)/I64&gt;0.3,"🟢 TAKE PROFIT  +"&amp;TEXT((L64-I64)/I64,"0.0%")&amp;"  — VENDE PARCIAL",IF((L64-I64)/I64&lt;-0.1,"🟡 "&amp;TEXT((L64-I64)/I64,"0.0%")&amp;"  — ZONA DCA  ACUMULA","🔵 "&amp;TEXT((L64-I64)/I64,"0.0%")&amp;"  — HOLDING  MANTÉN"))),"")</f>
        <v/>
      </c>
      <c r="N64" s="2"/>
      <c r="O64" s="2"/>
    </row>
    <row r="65" customFormat="false" ht="21.75" hidden="false" customHeight="true" outlineLevel="0" collapsed="false">
      <c r="A65" s="2"/>
      <c r="B65" s="38"/>
      <c r="C65" s="30"/>
      <c r="D65" s="39" t="str">
        <f aca="false">IFERROR(IF(C65="","",IF(E65="",C65,C65/E65)),"")</f>
        <v/>
      </c>
      <c r="E65" s="31"/>
      <c r="F65" s="32"/>
      <c r="G65" s="33" t="str">
        <f aca="false">IFERROR(IF(D65="","",((D65-H65)/F65)),"")</f>
        <v/>
      </c>
      <c r="H65" s="37"/>
      <c r="I65" s="34" t="str">
        <f aca="false">IFERROR(IF(D65="","",SUM($D$8:D65)),"")</f>
        <v/>
      </c>
      <c r="J65" s="35" t="str">
        <f aca="false">IFERROR(IF(G65="","",SUM($G$8:G65)),"")</f>
        <v/>
      </c>
      <c r="K65" s="32" t="str">
        <f aca="false">IFERROR(IF(J65="","",I65/J65),"")</f>
        <v/>
      </c>
      <c r="L65" s="34" t="str">
        <f aca="false">IFERROR(IF(J65="","",J65*$B$5),"")</f>
        <v/>
      </c>
      <c r="M65" s="36" t="str">
        <f aca="false">IFERROR(IF(I65="","",IF((L65-I65)/I65&gt;0.3,"🟢 TAKE PROFIT  +"&amp;TEXT((L65-I65)/I65,"0.0%")&amp;"  — VENDE PARCIAL",IF((L65-I65)/I65&lt;-0.1,"🟡 "&amp;TEXT((L65-I65)/I65,"0.0%")&amp;"  — ZONA DCA  ACUMULA","🔵 "&amp;TEXT((L65-I65)/I65,"0.0%")&amp;"  — HOLDING  MANTÉN"))),"")</f>
        <v/>
      </c>
      <c r="N65" s="2"/>
      <c r="O65" s="2"/>
    </row>
    <row r="66" customFormat="false" ht="21.75" hidden="false" customHeight="true" outlineLevel="0" collapsed="false">
      <c r="A66" s="2"/>
      <c r="B66" s="20"/>
      <c r="C66" s="21"/>
      <c r="D66" s="22" t="str">
        <f aca="false">IFERROR(IF(C66="","",IF(E66="",C66,C66/E66)),"")</f>
        <v/>
      </c>
      <c r="E66" s="23"/>
      <c r="F66" s="24"/>
      <c r="G66" s="25" t="str">
        <f aca="false">IFERROR(IF(D66="","",((D66-H66)/F66)),"")</f>
        <v/>
      </c>
      <c r="H66" s="26"/>
      <c r="I66" s="27" t="str">
        <f aca="false">IFERROR(IF(D66="","",SUM($D$8:D66)),"")</f>
        <v/>
      </c>
      <c r="J66" s="28" t="str">
        <f aca="false">IFERROR(IF(G66="","",SUM($G$8:G66)),"")</f>
        <v/>
      </c>
      <c r="K66" s="24" t="str">
        <f aca="false">IFERROR(IF(J66="","",I66/J66),"")</f>
        <v/>
      </c>
      <c r="L66" s="27" t="str">
        <f aca="false">IFERROR(IF(J66="","",J66*$B$5),"")</f>
        <v/>
      </c>
      <c r="M66" s="29" t="str">
        <f aca="false">IFERROR(IF(I66="","",IF((L66-I66)/I66&gt;0.3,"🟢 TAKE PROFIT  +"&amp;TEXT((L66-I66)/I66,"0.0%")&amp;"  — VENDE PARCIAL",IF((L66-I66)/I66&lt;-0.1,"🟡 "&amp;TEXT((L66-I66)/I66,"0.0%")&amp;"  — ZONA DCA  ACUMULA","🔵 "&amp;TEXT((L66-I66)/I66,"0.0%")&amp;"  — HOLDING  MANTÉN"))),"")</f>
        <v/>
      </c>
      <c r="N66" s="2"/>
      <c r="O66" s="2"/>
    </row>
    <row r="67" customFormat="false" ht="21.75" hidden="false" customHeight="true" outlineLevel="0" collapsed="false">
      <c r="A67" s="2"/>
      <c r="B67" s="38"/>
      <c r="C67" s="30"/>
      <c r="D67" s="39" t="str">
        <f aca="false">IFERROR(IF(C67="","",IF(E67="",C67,C67/E67)),"")</f>
        <v/>
      </c>
      <c r="E67" s="31"/>
      <c r="F67" s="32"/>
      <c r="G67" s="33" t="str">
        <f aca="false">IFERROR(IF(D67="","",((D67-H67)/F67)),"")</f>
        <v/>
      </c>
      <c r="H67" s="37"/>
      <c r="I67" s="34" t="str">
        <f aca="false">IFERROR(IF(D67="","",SUM($D$8:D67)),"")</f>
        <v/>
      </c>
      <c r="J67" s="35" t="str">
        <f aca="false">IFERROR(IF(G67="","",SUM($G$8:G67)),"")</f>
        <v/>
      </c>
      <c r="K67" s="32" t="str">
        <f aca="false">IFERROR(IF(J67="","",I67/J67),"")</f>
        <v/>
      </c>
      <c r="L67" s="34" t="str">
        <f aca="false">IFERROR(IF(J67="","",J67*$B$5),"")</f>
        <v/>
      </c>
      <c r="M67" s="36" t="str">
        <f aca="false">IFERROR(IF(I67="","",IF((L67-I67)/I67&gt;0.3,"🟢 TAKE PROFIT  +"&amp;TEXT((L67-I67)/I67,"0.0%")&amp;"  — VENDE PARCIAL",IF((L67-I67)/I67&lt;-0.1,"🟡 "&amp;TEXT((L67-I67)/I67,"0.0%")&amp;"  — ZONA DCA  ACUMULA","🔵 "&amp;TEXT((L67-I67)/I67,"0.0%")&amp;"  — HOLDING  MANTÉN"))),"")</f>
        <v/>
      </c>
      <c r="N67" s="2"/>
      <c r="O67" s="2"/>
    </row>
    <row r="68" customFormat="false" ht="21.75" hidden="false" customHeight="true" outlineLevel="0" collapsed="false">
      <c r="A68" s="2"/>
      <c r="B68" s="20"/>
      <c r="C68" s="21"/>
      <c r="D68" s="22" t="str">
        <f aca="false">IFERROR(IF(C68="","",IF(E68="",C68,C68/E68)),"")</f>
        <v/>
      </c>
      <c r="E68" s="23"/>
      <c r="F68" s="24"/>
      <c r="G68" s="25" t="str">
        <f aca="false">IFERROR(IF(D68="","",((D68-H68)/F68)),"")</f>
        <v/>
      </c>
      <c r="H68" s="26"/>
      <c r="I68" s="27" t="str">
        <f aca="false">IFERROR(IF(D68="","",SUM($D$8:D68)),"")</f>
        <v/>
      </c>
      <c r="J68" s="28" t="str">
        <f aca="false">IFERROR(IF(G68="","",SUM($G$8:G68)),"")</f>
        <v/>
      </c>
      <c r="K68" s="24" t="str">
        <f aca="false">IFERROR(IF(J68="","",I68/J68),"")</f>
        <v/>
      </c>
      <c r="L68" s="27" t="str">
        <f aca="false">IFERROR(IF(J68="","",J68*$B$5),"")</f>
        <v/>
      </c>
      <c r="M68" s="29" t="str">
        <f aca="false">IFERROR(IF(I68="","",IF((L68-I68)/I68&gt;0.3,"🟢 TAKE PROFIT  +"&amp;TEXT((L68-I68)/I68,"0.0%")&amp;"  — VENDE PARCIAL",IF((L68-I68)/I68&lt;-0.1,"🟡 "&amp;TEXT((L68-I68)/I68,"0.0%")&amp;"  — ZONA DCA  ACUMULA","🔵 "&amp;TEXT((L68-I68)/I68,"0.0%")&amp;"  — HOLDING  MANTÉN"))),"")</f>
        <v/>
      </c>
      <c r="N68" s="2"/>
      <c r="O68" s="2"/>
    </row>
    <row r="69" customFormat="false" ht="21.75" hidden="false" customHeight="true" outlineLevel="0" collapsed="false">
      <c r="A69" s="2"/>
      <c r="B69" s="38"/>
      <c r="C69" s="30"/>
      <c r="D69" s="39" t="str">
        <f aca="false">IFERROR(IF(C69="","",IF(E69="",C69,C69/E69)),"")</f>
        <v/>
      </c>
      <c r="E69" s="31"/>
      <c r="F69" s="32"/>
      <c r="G69" s="33" t="str">
        <f aca="false">IFERROR(IF(D69="","",((D69-H69)/F69)),"")</f>
        <v/>
      </c>
      <c r="H69" s="37"/>
      <c r="I69" s="34" t="str">
        <f aca="false">IFERROR(IF(D69="","",SUM($D$8:D69)),"")</f>
        <v/>
      </c>
      <c r="J69" s="35" t="str">
        <f aca="false">IFERROR(IF(G69="","",SUM($G$8:G69)),"")</f>
        <v/>
      </c>
      <c r="K69" s="32" t="str">
        <f aca="false">IFERROR(IF(J69="","",I69/J69),"")</f>
        <v/>
      </c>
      <c r="L69" s="34" t="str">
        <f aca="false">IFERROR(IF(J69="","",J69*$B$5),"")</f>
        <v/>
      </c>
      <c r="M69" s="36" t="str">
        <f aca="false">IFERROR(IF(I69="","",IF((L69-I69)/I69&gt;0.3,"🟢 TAKE PROFIT  +"&amp;TEXT((L69-I69)/I69,"0.0%")&amp;"  — VENDE PARCIAL",IF((L69-I69)/I69&lt;-0.1,"🟡 "&amp;TEXT((L69-I69)/I69,"0.0%")&amp;"  — ZONA DCA  ACUMULA","🔵 "&amp;TEXT((L69-I69)/I69,"0.0%")&amp;"  — HOLDING  MANTÉN"))),"")</f>
        <v/>
      </c>
      <c r="N69" s="2"/>
      <c r="O69" s="2"/>
    </row>
    <row r="70" customFormat="false" ht="21.75" hidden="false" customHeight="true" outlineLevel="0" collapsed="false">
      <c r="A70" s="2"/>
      <c r="B70" s="20"/>
      <c r="C70" s="21"/>
      <c r="D70" s="22" t="str">
        <f aca="false">IFERROR(IF(C70="","",IF(E70="",C70,C70/E70)),"")</f>
        <v/>
      </c>
      <c r="E70" s="23"/>
      <c r="F70" s="24"/>
      <c r="G70" s="25" t="str">
        <f aca="false">IFERROR(IF(D70="","",((D70-H70)/F70)),"")</f>
        <v/>
      </c>
      <c r="H70" s="26"/>
      <c r="I70" s="27" t="str">
        <f aca="false">IFERROR(IF(D70="","",SUM($D$8:D70)),"")</f>
        <v/>
      </c>
      <c r="J70" s="28" t="str">
        <f aca="false">IFERROR(IF(G70="","",SUM($G$8:G70)),"")</f>
        <v/>
      </c>
      <c r="K70" s="24" t="str">
        <f aca="false">IFERROR(IF(J70="","",I70/J70),"")</f>
        <v/>
      </c>
      <c r="L70" s="27" t="str">
        <f aca="false">IFERROR(IF(J70="","",J70*$B$5),"")</f>
        <v/>
      </c>
      <c r="M70" s="29" t="str">
        <f aca="false">IFERROR(IF(I70="","",IF((L70-I70)/I70&gt;0.3,"🟢 TAKE PROFIT  +"&amp;TEXT((L70-I70)/I70,"0.0%")&amp;"  — VENDE PARCIAL",IF((L70-I70)/I70&lt;-0.1,"🟡 "&amp;TEXT((L70-I70)/I70,"0.0%")&amp;"  — ZONA DCA  ACUMULA","🔵 "&amp;TEXT((L70-I70)/I70,"0.0%")&amp;"  — HOLDING  MANTÉN"))),"")</f>
        <v/>
      </c>
      <c r="N70" s="2"/>
      <c r="O70" s="2"/>
    </row>
    <row r="71" customFormat="false" ht="21.75" hidden="false" customHeight="true" outlineLevel="0" collapsed="false">
      <c r="A71" s="2"/>
      <c r="B71" s="38"/>
      <c r="C71" s="30"/>
      <c r="D71" s="39" t="str">
        <f aca="false">IFERROR(IF(C71="","",IF(E71="",C71,C71/E71)),"")</f>
        <v/>
      </c>
      <c r="E71" s="31"/>
      <c r="F71" s="32"/>
      <c r="G71" s="33" t="str">
        <f aca="false">IFERROR(IF(D71="","",((D71-H71)/F71)),"")</f>
        <v/>
      </c>
      <c r="H71" s="37"/>
      <c r="I71" s="34" t="str">
        <f aca="false">IFERROR(IF(D71="","",SUM($D$8:D71)),"")</f>
        <v/>
      </c>
      <c r="J71" s="35" t="str">
        <f aca="false">IFERROR(IF(G71="","",SUM($G$8:G71)),"")</f>
        <v/>
      </c>
      <c r="K71" s="32" t="str">
        <f aca="false">IFERROR(IF(J71="","",I71/J71),"")</f>
        <v/>
      </c>
      <c r="L71" s="34" t="str">
        <f aca="false">IFERROR(IF(J71="","",J71*$B$5),"")</f>
        <v/>
      </c>
      <c r="M71" s="36" t="str">
        <f aca="false">IFERROR(IF(I71="","",IF((L71-I71)/I71&gt;0.3,"🟢 TAKE PROFIT  +"&amp;TEXT((L71-I71)/I71,"0.0%")&amp;"  — VENDE PARCIAL",IF((L71-I71)/I71&lt;-0.1,"🟡 "&amp;TEXT((L71-I71)/I71,"0.0%")&amp;"  — ZONA DCA  ACUMULA","🔵 "&amp;TEXT((L71-I71)/I71,"0.0%")&amp;"  — HOLDING  MANTÉN"))),"")</f>
        <v/>
      </c>
      <c r="N71" s="2"/>
      <c r="O71" s="2"/>
    </row>
    <row r="72" customFormat="false" ht="21.75" hidden="false" customHeight="true" outlineLevel="0" collapsed="false">
      <c r="A72" s="2"/>
      <c r="B72" s="20"/>
      <c r="C72" s="21"/>
      <c r="D72" s="22" t="str">
        <f aca="false">IFERROR(IF(C72="","",IF(E72="",C72,C72/E72)),"")</f>
        <v/>
      </c>
      <c r="E72" s="23"/>
      <c r="F72" s="24"/>
      <c r="G72" s="25" t="str">
        <f aca="false">IFERROR(IF(D72="","",((D72-H72)/F72)),"")</f>
        <v/>
      </c>
      <c r="H72" s="26"/>
      <c r="I72" s="27" t="str">
        <f aca="false">IFERROR(IF(D72="","",SUM($D$8:D72)),"")</f>
        <v/>
      </c>
      <c r="J72" s="28" t="str">
        <f aca="false">IFERROR(IF(G72="","",SUM($G$8:G72)),"")</f>
        <v/>
      </c>
      <c r="K72" s="24" t="str">
        <f aca="false">IFERROR(IF(J72="","",I72/J72),"")</f>
        <v/>
      </c>
      <c r="L72" s="27" t="str">
        <f aca="false">IFERROR(IF(J72="","",J72*$B$5),"")</f>
        <v/>
      </c>
      <c r="M72" s="29" t="str">
        <f aca="false">IFERROR(IF(I72="","",IF((L72-I72)/I72&gt;0.3,"🟢 TAKE PROFIT  +"&amp;TEXT((L72-I72)/I72,"0.0%")&amp;"  — VENDE PARCIAL",IF((L72-I72)/I72&lt;-0.1,"🟡 "&amp;TEXT((L72-I72)/I72,"0.0%")&amp;"  — ZONA DCA  ACUMULA","🔵 "&amp;TEXT((L72-I72)/I72,"0.0%")&amp;"  — HOLDING  MANTÉN"))),"")</f>
        <v/>
      </c>
      <c r="N72" s="2"/>
      <c r="O72" s="2"/>
    </row>
    <row r="73" customFormat="false" ht="21.75" hidden="false" customHeight="true" outlineLevel="0" collapsed="false">
      <c r="A73" s="2"/>
      <c r="B73" s="38"/>
      <c r="C73" s="30"/>
      <c r="D73" s="39" t="str">
        <f aca="false">IFERROR(IF(C73="","",IF(E73="",C73,C73/E73)),"")</f>
        <v/>
      </c>
      <c r="E73" s="31"/>
      <c r="F73" s="32"/>
      <c r="G73" s="33" t="str">
        <f aca="false">IFERROR(IF(D73="","",((D73-H73)/F73)),"")</f>
        <v/>
      </c>
      <c r="H73" s="37"/>
      <c r="I73" s="34" t="str">
        <f aca="false">IFERROR(IF(D73="","",SUM($D$8:D73)),"")</f>
        <v/>
      </c>
      <c r="J73" s="35" t="str">
        <f aca="false">IFERROR(IF(G73="","",SUM($G$8:G73)),"")</f>
        <v/>
      </c>
      <c r="K73" s="32" t="str">
        <f aca="false">IFERROR(IF(J73="","",I73/J73),"")</f>
        <v/>
      </c>
      <c r="L73" s="34" t="str">
        <f aca="false">IFERROR(IF(J73="","",J73*$B$5),"")</f>
        <v/>
      </c>
      <c r="M73" s="36" t="str">
        <f aca="false">IFERROR(IF(I73="","",IF((L73-I73)/I73&gt;0.3,"🟢 TAKE PROFIT  +"&amp;TEXT((L73-I73)/I73,"0.0%")&amp;"  — VENDE PARCIAL",IF((L73-I73)/I73&lt;-0.1,"🟡 "&amp;TEXT((L73-I73)/I73,"0.0%")&amp;"  — ZONA DCA  ACUMULA","🔵 "&amp;TEXT((L73-I73)/I73,"0.0%")&amp;"  — HOLDING  MANTÉN"))),"")</f>
        <v/>
      </c>
      <c r="N73" s="2"/>
      <c r="O73" s="2"/>
    </row>
    <row r="74" customFormat="false" ht="21.75" hidden="false" customHeight="true" outlineLevel="0" collapsed="false">
      <c r="A74" s="2"/>
      <c r="B74" s="20"/>
      <c r="C74" s="21"/>
      <c r="D74" s="22" t="str">
        <f aca="false">IFERROR(IF(C74="","",IF(E74="",C74,C74/E74)),"")</f>
        <v/>
      </c>
      <c r="E74" s="23"/>
      <c r="F74" s="24"/>
      <c r="G74" s="25" t="str">
        <f aca="false">IFERROR(IF(D74="","",((D74-H74)/F74)),"")</f>
        <v/>
      </c>
      <c r="H74" s="26"/>
      <c r="I74" s="27" t="str">
        <f aca="false">IFERROR(IF(D74="","",SUM($D$8:D74)),"")</f>
        <v/>
      </c>
      <c r="J74" s="28" t="str">
        <f aca="false">IFERROR(IF(G74="","",SUM($G$8:G74)),"")</f>
        <v/>
      </c>
      <c r="K74" s="24" t="str">
        <f aca="false">IFERROR(IF(J74="","",I74/J74),"")</f>
        <v/>
      </c>
      <c r="L74" s="27" t="str">
        <f aca="false">IFERROR(IF(J74="","",J74*$B$5),"")</f>
        <v/>
      </c>
      <c r="M74" s="29" t="str">
        <f aca="false">IFERROR(IF(I74="","",IF((L74-I74)/I74&gt;0.3,"🟢 TAKE PROFIT  +"&amp;TEXT((L74-I74)/I74,"0.0%")&amp;"  — VENDE PARCIAL",IF((L74-I74)/I74&lt;-0.1,"🟡 "&amp;TEXT((L74-I74)/I74,"0.0%")&amp;"  — ZONA DCA  ACUMULA","🔵 "&amp;TEXT((L74-I74)/I74,"0.0%")&amp;"  — HOLDING  MANTÉN"))),"")</f>
        <v/>
      </c>
      <c r="N74" s="2"/>
      <c r="O74" s="2"/>
    </row>
    <row r="75" customFormat="false" ht="21.75" hidden="false" customHeight="true" outlineLevel="0" collapsed="false">
      <c r="A75" s="2"/>
      <c r="B75" s="38"/>
      <c r="C75" s="30"/>
      <c r="D75" s="39" t="str">
        <f aca="false">IFERROR(IF(C75="","",IF(E75="",C75,C75/E75)),"")</f>
        <v/>
      </c>
      <c r="E75" s="31"/>
      <c r="F75" s="32"/>
      <c r="G75" s="33" t="str">
        <f aca="false">IFERROR(IF(D75="","",((D75-H75)/F75)),"")</f>
        <v/>
      </c>
      <c r="H75" s="37"/>
      <c r="I75" s="34" t="str">
        <f aca="false">IFERROR(IF(D75="","",SUM($D$8:D75)),"")</f>
        <v/>
      </c>
      <c r="J75" s="35" t="str">
        <f aca="false">IFERROR(IF(G75="","",SUM($G$8:G75)),"")</f>
        <v/>
      </c>
      <c r="K75" s="32" t="str">
        <f aca="false">IFERROR(IF(J75="","",I75/J75),"")</f>
        <v/>
      </c>
      <c r="L75" s="34" t="str">
        <f aca="false">IFERROR(IF(J75="","",J75*$B$5),"")</f>
        <v/>
      </c>
      <c r="M75" s="36" t="str">
        <f aca="false">IFERROR(IF(I75="","",IF((L75-I75)/I75&gt;0.3,"🟢 TAKE PROFIT  +"&amp;TEXT((L75-I75)/I75,"0.0%")&amp;"  — VENDE PARCIAL",IF((L75-I75)/I75&lt;-0.1,"🟡 "&amp;TEXT((L75-I75)/I75,"0.0%")&amp;"  — ZONA DCA  ACUMULA","🔵 "&amp;TEXT((L75-I75)/I75,"0.0%")&amp;"  — HOLDING  MANTÉN"))),"")</f>
        <v/>
      </c>
      <c r="N75" s="2"/>
      <c r="O75" s="2"/>
    </row>
    <row r="76" customFormat="false" ht="21.75" hidden="false" customHeight="true" outlineLevel="0" collapsed="false">
      <c r="A76" s="2"/>
      <c r="B76" s="20"/>
      <c r="C76" s="21"/>
      <c r="D76" s="22" t="str">
        <f aca="false">IFERROR(IF(C76="","",IF(E76="",C76,C76/E76)),"")</f>
        <v/>
      </c>
      <c r="E76" s="23"/>
      <c r="F76" s="24"/>
      <c r="G76" s="25" t="str">
        <f aca="false">IFERROR(IF(D76="","",((D76-H76)/F76)),"")</f>
        <v/>
      </c>
      <c r="H76" s="26"/>
      <c r="I76" s="27" t="str">
        <f aca="false">IFERROR(IF(D76="","",SUM($D$8:D76)),"")</f>
        <v/>
      </c>
      <c r="J76" s="28" t="str">
        <f aca="false">IFERROR(IF(G76="","",SUM($G$8:G76)),"")</f>
        <v/>
      </c>
      <c r="K76" s="24" t="str">
        <f aca="false">IFERROR(IF(J76="","",I76/J76),"")</f>
        <v/>
      </c>
      <c r="L76" s="27" t="str">
        <f aca="false">IFERROR(IF(J76="","",J76*$B$5),"")</f>
        <v/>
      </c>
      <c r="M76" s="29" t="str">
        <f aca="false">IFERROR(IF(I76="","",IF((L76-I76)/I76&gt;0.3,"🟢 TAKE PROFIT  +"&amp;TEXT((L76-I76)/I76,"0.0%")&amp;"  — VENDE PARCIAL",IF((L76-I76)/I76&lt;-0.1,"🟡 "&amp;TEXT((L76-I76)/I76,"0.0%")&amp;"  — ZONA DCA  ACUMULA","🔵 "&amp;TEXT((L76-I76)/I76,"0.0%")&amp;"  — HOLDING  MANTÉN"))),"")</f>
        <v/>
      </c>
      <c r="N76" s="2"/>
      <c r="O76" s="2"/>
    </row>
    <row r="77" customFormat="false" ht="21.75" hidden="false" customHeight="true" outlineLevel="0" collapsed="false">
      <c r="A77" s="2"/>
      <c r="B77" s="38"/>
      <c r="C77" s="30"/>
      <c r="D77" s="39" t="str">
        <f aca="false">IFERROR(IF(C77="","",IF(E77="",C77,C77/E77)),"")</f>
        <v/>
      </c>
      <c r="E77" s="31"/>
      <c r="F77" s="32"/>
      <c r="G77" s="33" t="str">
        <f aca="false">IFERROR(IF(D77="","",((D77-H77)/F77)),"")</f>
        <v/>
      </c>
      <c r="H77" s="37"/>
      <c r="I77" s="34" t="str">
        <f aca="false">IFERROR(IF(D77="","",SUM($D$8:D77)),"")</f>
        <v/>
      </c>
      <c r="J77" s="35" t="str">
        <f aca="false">IFERROR(IF(G77="","",SUM($G$8:G77)),"")</f>
        <v/>
      </c>
      <c r="K77" s="32" t="str">
        <f aca="false">IFERROR(IF(J77="","",I77/J77),"")</f>
        <v/>
      </c>
      <c r="L77" s="34" t="str">
        <f aca="false">IFERROR(IF(J77="","",J77*$B$5),"")</f>
        <v/>
      </c>
      <c r="M77" s="36" t="str">
        <f aca="false">IFERROR(IF(I77="","",IF((L77-I77)/I77&gt;0.3,"🟢 TAKE PROFIT  +"&amp;TEXT((L77-I77)/I77,"0.0%")&amp;"  — VENDE PARCIAL",IF((L77-I77)/I77&lt;-0.1,"🟡 "&amp;TEXT((L77-I77)/I77,"0.0%")&amp;"  — ZONA DCA  ACUMULA","🔵 "&amp;TEXT((L77-I77)/I77,"0.0%")&amp;"  — HOLDING  MANTÉN"))),"")</f>
        <v/>
      </c>
      <c r="N77" s="2"/>
      <c r="O77" s="2"/>
    </row>
    <row r="78" customFormat="false" ht="21.75" hidden="false" customHeight="true" outlineLevel="0" collapsed="false">
      <c r="A78" s="2"/>
      <c r="B78" s="20"/>
      <c r="C78" s="21"/>
      <c r="D78" s="22" t="str">
        <f aca="false">IFERROR(IF(C78="","",IF(E78="",C78,C78/E78)),"")</f>
        <v/>
      </c>
      <c r="E78" s="23"/>
      <c r="F78" s="24"/>
      <c r="G78" s="25" t="str">
        <f aca="false">IFERROR(IF(D78="","",((D78-H78)/F78)),"")</f>
        <v/>
      </c>
      <c r="H78" s="26"/>
      <c r="I78" s="27" t="str">
        <f aca="false">IFERROR(IF(D78="","",SUM($D$8:D78)),"")</f>
        <v/>
      </c>
      <c r="J78" s="28" t="str">
        <f aca="false">IFERROR(IF(G78="","",SUM($G$8:G78)),"")</f>
        <v/>
      </c>
      <c r="K78" s="24" t="str">
        <f aca="false">IFERROR(IF(J78="","",I78/J78),"")</f>
        <v/>
      </c>
      <c r="L78" s="27" t="str">
        <f aca="false">IFERROR(IF(J78="","",J78*$B$5),"")</f>
        <v/>
      </c>
      <c r="M78" s="29" t="str">
        <f aca="false">IFERROR(IF(I78="","",IF((L78-I78)/I78&gt;0.3,"🟢 TAKE PROFIT  +"&amp;TEXT((L78-I78)/I78,"0.0%")&amp;"  — VENDE PARCIAL",IF((L78-I78)/I78&lt;-0.1,"🟡 "&amp;TEXT((L78-I78)/I78,"0.0%")&amp;"  — ZONA DCA  ACUMULA","🔵 "&amp;TEXT((L78-I78)/I78,"0.0%")&amp;"  — HOLDING  MANTÉN"))),"")</f>
        <v/>
      </c>
      <c r="N78" s="2"/>
      <c r="O78" s="2"/>
    </row>
    <row r="79" customFormat="false" ht="21.75" hidden="false" customHeight="true" outlineLevel="0" collapsed="false">
      <c r="A79" s="2"/>
      <c r="B79" s="38"/>
      <c r="C79" s="30"/>
      <c r="D79" s="39" t="str">
        <f aca="false">IFERROR(IF(C79="","",IF(E79="",C79,C79/E79)),"")</f>
        <v/>
      </c>
      <c r="E79" s="31"/>
      <c r="F79" s="32"/>
      <c r="G79" s="33" t="str">
        <f aca="false">IFERROR(IF(D79="","",((D79-H79)/F79)),"")</f>
        <v/>
      </c>
      <c r="H79" s="37"/>
      <c r="I79" s="34" t="str">
        <f aca="false">IFERROR(IF(D79="","",SUM($D$8:D79)),"")</f>
        <v/>
      </c>
      <c r="J79" s="35" t="str">
        <f aca="false">IFERROR(IF(G79="","",SUM($G$8:G79)),"")</f>
        <v/>
      </c>
      <c r="K79" s="32" t="str">
        <f aca="false">IFERROR(IF(J79="","",I79/J79),"")</f>
        <v/>
      </c>
      <c r="L79" s="34" t="str">
        <f aca="false">IFERROR(IF(J79="","",J79*$B$5),"")</f>
        <v/>
      </c>
      <c r="M79" s="36" t="str">
        <f aca="false">IFERROR(IF(I79="","",IF((L79-I79)/I79&gt;0.3,"🟢 TAKE PROFIT  +"&amp;TEXT((L79-I79)/I79,"0.0%")&amp;"  — VENDE PARCIAL",IF((L79-I79)/I79&lt;-0.1,"🟡 "&amp;TEXT((L79-I79)/I79,"0.0%")&amp;"  — ZONA DCA  ACUMULA","🔵 "&amp;TEXT((L79-I79)/I79,"0.0%")&amp;"  — HOLDING  MANTÉN"))),"")</f>
        <v/>
      </c>
      <c r="N79" s="2"/>
      <c r="O79" s="2"/>
    </row>
    <row r="80" customFormat="false" ht="21.75" hidden="false" customHeight="true" outlineLevel="0" collapsed="false">
      <c r="A80" s="2"/>
      <c r="B80" s="20"/>
      <c r="C80" s="21"/>
      <c r="D80" s="22" t="str">
        <f aca="false">IFERROR(IF(C80="","",IF(E80="",C80,C80/E80)),"")</f>
        <v/>
      </c>
      <c r="E80" s="23"/>
      <c r="F80" s="24"/>
      <c r="G80" s="25" t="str">
        <f aca="false">IFERROR(IF(D80="","",((D80-H80)/F80)),"")</f>
        <v/>
      </c>
      <c r="H80" s="26"/>
      <c r="I80" s="27" t="str">
        <f aca="false">IFERROR(IF(D80="","",SUM($D$8:D80)),"")</f>
        <v/>
      </c>
      <c r="J80" s="28" t="str">
        <f aca="false">IFERROR(IF(G80="","",SUM($G$8:G80)),"")</f>
        <v/>
      </c>
      <c r="K80" s="24" t="str">
        <f aca="false">IFERROR(IF(J80="","",I80/J80),"")</f>
        <v/>
      </c>
      <c r="L80" s="27" t="str">
        <f aca="false">IFERROR(IF(J80="","",J80*$B$5),"")</f>
        <v/>
      </c>
      <c r="M80" s="29" t="str">
        <f aca="false">IFERROR(IF(I80="","",IF((L80-I80)/I80&gt;0.3,"🟢 TAKE PROFIT  +"&amp;TEXT((L80-I80)/I80,"0.0%")&amp;"  — VENDE PARCIAL",IF((L80-I80)/I80&lt;-0.1,"🟡 "&amp;TEXT((L80-I80)/I80,"0.0%")&amp;"  — ZONA DCA  ACUMULA","🔵 "&amp;TEXT((L80-I80)/I80,"0.0%")&amp;"  — HOLDING  MANTÉN"))),"")</f>
        <v/>
      </c>
      <c r="N80" s="2"/>
      <c r="O80" s="2"/>
    </row>
    <row r="81" customFormat="false" ht="21.75" hidden="false" customHeight="true" outlineLevel="0" collapsed="false">
      <c r="A81" s="2"/>
      <c r="B81" s="38"/>
      <c r="C81" s="30"/>
      <c r="D81" s="39" t="str">
        <f aca="false">IFERROR(IF(C81="","",IF(E81="",C81,C81/E81)),"")</f>
        <v/>
      </c>
      <c r="E81" s="31"/>
      <c r="F81" s="32"/>
      <c r="G81" s="33" t="str">
        <f aca="false">IFERROR(IF(D81="","",((D81-H81)/F81)),"")</f>
        <v/>
      </c>
      <c r="H81" s="37"/>
      <c r="I81" s="34" t="str">
        <f aca="false">IFERROR(IF(D81="","",SUM($D$8:D81)),"")</f>
        <v/>
      </c>
      <c r="J81" s="35" t="str">
        <f aca="false">IFERROR(IF(G81="","",SUM($G$8:G81)),"")</f>
        <v/>
      </c>
      <c r="K81" s="32" t="str">
        <f aca="false">IFERROR(IF(J81="","",I81/J81),"")</f>
        <v/>
      </c>
      <c r="L81" s="34" t="str">
        <f aca="false">IFERROR(IF(J81="","",J81*$B$5),"")</f>
        <v/>
      </c>
      <c r="M81" s="36" t="str">
        <f aca="false">IFERROR(IF(I81="","",IF((L81-I81)/I81&gt;0.3,"🟢 TAKE PROFIT  +"&amp;TEXT((L81-I81)/I81,"0.0%")&amp;"  — VENDE PARCIAL",IF((L81-I81)/I81&lt;-0.1,"🟡 "&amp;TEXT((L81-I81)/I81,"0.0%")&amp;"  — ZONA DCA  ACUMULA","🔵 "&amp;TEXT((L81-I81)/I81,"0.0%")&amp;"  — HOLDING  MANTÉN"))),"")</f>
        <v/>
      </c>
      <c r="N81" s="2"/>
      <c r="O81" s="2"/>
    </row>
    <row r="82" customFormat="false" ht="21.75" hidden="false" customHeight="true" outlineLevel="0" collapsed="false">
      <c r="A82" s="2"/>
      <c r="B82" s="20"/>
      <c r="C82" s="21"/>
      <c r="D82" s="22" t="str">
        <f aca="false">IFERROR(IF(C82="","",IF(E82="",C82,C82/E82)),"")</f>
        <v/>
      </c>
      <c r="E82" s="23"/>
      <c r="F82" s="24"/>
      <c r="G82" s="25" t="str">
        <f aca="false">IFERROR(IF(D82="","",((D82-H82)/F82)),"")</f>
        <v/>
      </c>
      <c r="H82" s="26"/>
      <c r="I82" s="27" t="str">
        <f aca="false">IFERROR(IF(D82="","",SUM($D$8:D82)),"")</f>
        <v/>
      </c>
      <c r="J82" s="28" t="str">
        <f aca="false">IFERROR(IF(G82="","",SUM($G$8:G82)),"")</f>
        <v/>
      </c>
      <c r="K82" s="24" t="str">
        <f aca="false">IFERROR(IF(J82="","",I82/J82),"")</f>
        <v/>
      </c>
      <c r="L82" s="27" t="str">
        <f aca="false">IFERROR(IF(J82="","",J82*$B$5),"")</f>
        <v/>
      </c>
      <c r="M82" s="29" t="str">
        <f aca="false">IFERROR(IF(I82="","",IF((L82-I82)/I82&gt;0.3,"🟢 TAKE PROFIT  +"&amp;TEXT((L82-I82)/I82,"0.0%")&amp;"  — VENDE PARCIAL",IF((L82-I82)/I82&lt;-0.1,"🟡 "&amp;TEXT((L82-I82)/I82,"0.0%")&amp;"  — ZONA DCA  ACUMULA","🔵 "&amp;TEXT((L82-I82)/I82,"0.0%")&amp;"  — HOLDING  MANTÉN"))),"")</f>
        <v/>
      </c>
      <c r="N82" s="2"/>
      <c r="O82" s="2"/>
    </row>
    <row r="83" customFormat="false" ht="21.75" hidden="false" customHeight="true" outlineLevel="0" collapsed="false">
      <c r="A83" s="2"/>
      <c r="B83" s="38"/>
      <c r="C83" s="30"/>
      <c r="D83" s="39" t="str">
        <f aca="false">IFERROR(IF(C83="","",IF(E83="",C83,C83/E83)),"")</f>
        <v/>
      </c>
      <c r="E83" s="31"/>
      <c r="F83" s="32"/>
      <c r="G83" s="33" t="str">
        <f aca="false">IFERROR(IF(D83="","",((D83-H83)/F83)),"")</f>
        <v/>
      </c>
      <c r="H83" s="37"/>
      <c r="I83" s="34" t="str">
        <f aca="false">IFERROR(IF(D83="","",SUM($D$8:D83)),"")</f>
        <v/>
      </c>
      <c r="J83" s="35" t="str">
        <f aca="false">IFERROR(IF(G83="","",SUM($G$8:G83)),"")</f>
        <v/>
      </c>
      <c r="K83" s="32" t="str">
        <f aca="false">IFERROR(IF(J83="","",I83/J83),"")</f>
        <v/>
      </c>
      <c r="L83" s="34" t="str">
        <f aca="false">IFERROR(IF(J83="","",J83*$B$5),"")</f>
        <v/>
      </c>
      <c r="M83" s="36" t="str">
        <f aca="false">IFERROR(IF(I83="","",IF((L83-I83)/I83&gt;0.3,"🟢 TAKE PROFIT  +"&amp;TEXT((L83-I83)/I83,"0.0%")&amp;"  — VENDE PARCIAL",IF((L83-I83)/I83&lt;-0.1,"🟡 "&amp;TEXT((L83-I83)/I83,"0.0%")&amp;"  — ZONA DCA  ACUMULA","🔵 "&amp;TEXT((L83-I83)/I83,"0.0%")&amp;"  — HOLDING  MANTÉN"))),"")</f>
        <v/>
      </c>
      <c r="N83" s="2"/>
      <c r="O83" s="2"/>
    </row>
    <row r="84" customFormat="false" ht="21.75" hidden="false" customHeight="true" outlineLevel="0" collapsed="false">
      <c r="A84" s="2"/>
      <c r="B84" s="20"/>
      <c r="C84" s="21"/>
      <c r="D84" s="22" t="str">
        <f aca="false">IFERROR(IF(C84="","",IF(E84="",C84,C84/E84)),"")</f>
        <v/>
      </c>
      <c r="E84" s="23"/>
      <c r="F84" s="24"/>
      <c r="G84" s="25" t="str">
        <f aca="false">IFERROR(IF(D84="","",((D84-H84)/F84)),"")</f>
        <v/>
      </c>
      <c r="H84" s="26"/>
      <c r="I84" s="27" t="str">
        <f aca="false">IFERROR(IF(D84="","",SUM($D$8:D84)),"")</f>
        <v/>
      </c>
      <c r="J84" s="28" t="str">
        <f aca="false">IFERROR(IF(G84="","",SUM($G$8:G84)),"")</f>
        <v/>
      </c>
      <c r="K84" s="24" t="str">
        <f aca="false">IFERROR(IF(J84="","",I84/J84),"")</f>
        <v/>
      </c>
      <c r="L84" s="27" t="str">
        <f aca="false">IFERROR(IF(J84="","",J84*$B$5),"")</f>
        <v/>
      </c>
      <c r="M84" s="29" t="str">
        <f aca="false">IFERROR(IF(I84="","",IF((L84-I84)/I84&gt;0.3,"🟢 TAKE PROFIT  +"&amp;TEXT((L84-I84)/I84,"0.0%")&amp;"  — VENDE PARCIAL",IF((L84-I84)/I84&lt;-0.1,"🟡 "&amp;TEXT((L84-I84)/I84,"0.0%")&amp;"  — ZONA DCA  ACUMULA","🔵 "&amp;TEXT((L84-I84)/I84,"0.0%")&amp;"  — HOLDING  MANTÉN"))),"")</f>
        <v/>
      </c>
      <c r="N84" s="2"/>
      <c r="O84" s="2"/>
    </row>
    <row r="85" customFormat="false" ht="21.75" hidden="false" customHeight="true" outlineLevel="0" collapsed="false">
      <c r="A85" s="2"/>
      <c r="B85" s="38"/>
      <c r="C85" s="30"/>
      <c r="D85" s="39" t="str">
        <f aca="false">IFERROR(IF(C85="","",IF(E85="",C85,C85/E85)),"")</f>
        <v/>
      </c>
      <c r="E85" s="31"/>
      <c r="F85" s="32"/>
      <c r="G85" s="33" t="str">
        <f aca="false">IFERROR(IF(D85="","",((D85-H85)/F85)),"")</f>
        <v/>
      </c>
      <c r="H85" s="37"/>
      <c r="I85" s="34" t="str">
        <f aca="false">IFERROR(IF(D85="","",SUM($D$8:D85)),"")</f>
        <v/>
      </c>
      <c r="J85" s="35" t="str">
        <f aca="false">IFERROR(IF(G85="","",SUM($G$8:G85)),"")</f>
        <v/>
      </c>
      <c r="K85" s="32" t="str">
        <f aca="false">IFERROR(IF(J85="","",I85/J85),"")</f>
        <v/>
      </c>
      <c r="L85" s="34" t="str">
        <f aca="false">IFERROR(IF(J85="","",J85*$B$5),"")</f>
        <v/>
      </c>
      <c r="M85" s="36" t="str">
        <f aca="false">IFERROR(IF(I85="","",IF((L85-I85)/I85&gt;0.3,"🟢 TAKE PROFIT  +"&amp;TEXT((L85-I85)/I85,"0.0%")&amp;"  — VENDE PARCIAL",IF((L85-I85)/I85&lt;-0.1,"🟡 "&amp;TEXT((L85-I85)/I85,"0.0%")&amp;"  — ZONA DCA  ACUMULA","🔵 "&amp;TEXT((L85-I85)/I85,"0.0%")&amp;"  — HOLDING  MANTÉN"))),"")</f>
        <v/>
      </c>
      <c r="N85" s="2"/>
      <c r="O85" s="2"/>
    </row>
    <row r="86" customFormat="false" ht="21.75" hidden="false" customHeight="true" outlineLevel="0" collapsed="false">
      <c r="A86" s="2"/>
      <c r="B86" s="20"/>
      <c r="C86" s="21"/>
      <c r="D86" s="22" t="str">
        <f aca="false">IFERROR(IF(C86="","",IF(E86="",C86,C86/E86)),"")</f>
        <v/>
      </c>
      <c r="E86" s="23"/>
      <c r="F86" s="24"/>
      <c r="G86" s="25" t="str">
        <f aca="false">IFERROR(IF(D86="","",((D86-H86)/F86)),"")</f>
        <v/>
      </c>
      <c r="H86" s="26"/>
      <c r="I86" s="27" t="str">
        <f aca="false">IFERROR(IF(D86="","",SUM($D$8:D86)),"")</f>
        <v/>
      </c>
      <c r="J86" s="28" t="str">
        <f aca="false">IFERROR(IF(G86="","",SUM($G$8:G86)),"")</f>
        <v/>
      </c>
      <c r="K86" s="24" t="str">
        <f aca="false">IFERROR(IF(J86="","",I86/J86),"")</f>
        <v/>
      </c>
      <c r="L86" s="27" t="str">
        <f aca="false">IFERROR(IF(J86="","",J86*$B$5),"")</f>
        <v/>
      </c>
      <c r="M86" s="29" t="str">
        <f aca="false">IFERROR(IF(I86="","",IF((L86-I86)/I86&gt;0.3,"🟢 TAKE PROFIT  +"&amp;TEXT((L86-I86)/I86,"0.0%")&amp;"  — VENDE PARCIAL",IF((L86-I86)/I86&lt;-0.1,"🟡 "&amp;TEXT((L86-I86)/I86,"0.0%")&amp;"  — ZONA DCA  ACUMULA","🔵 "&amp;TEXT((L86-I86)/I86,"0.0%")&amp;"  — HOLDING  MANTÉN"))),"")</f>
        <v/>
      </c>
      <c r="N86" s="2"/>
      <c r="O86" s="2"/>
    </row>
    <row r="87" customFormat="false" ht="21.75" hidden="false" customHeight="true" outlineLevel="0" collapsed="false">
      <c r="A87" s="2"/>
      <c r="B87" s="38"/>
      <c r="C87" s="30"/>
      <c r="D87" s="39" t="str">
        <f aca="false">IFERROR(IF(C87="","",IF(E87="",C87,C87/E87)),"")</f>
        <v/>
      </c>
      <c r="E87" s="31"/>
      <c r="F87" s="32"/>
      <c r="G87" s="33" t="str">
        <f aca="false">IFERROR(IF(D87="","",((D87-H87)/F87)),"")</f>
        <v/>
      </c>
      <c r="H87" s="37"/>
      <c r="I87" s="34" t="str">
        <f aca="false">IFERROR(IF(D87="","",SUM($D$8:D87)),"")</f>
        <v/>
      </c>
      <c r="J87" s="35" t="str">
        <f aca="false">IFERROR(IF(G87="","",SUM($G$8:G87)),"")</f>
        <v/>
      </c>
      <c r="K87" s="32" t="str">
        <f aca="false">IFERROR(IF(J87="","",I87/J87),"")</f>
        <v/>
      </c>
      <c r="L87" s="34" t="str">
        <f aca="false">IFERROR(IF(J87="","",J87*$B$5),"")</f>
        <v/>
      </c>
      <c r="M87" s="36" t="str">
        <f aca="false">IFERROR(IF(I87="","",IF((L87-I87)/I87&gt;0.3,"🟢 TAKE PROFIT  +"&amp;TEXT((L87-I87)/I87,"0.0%")&amp;"  — VENDE PARCIAL",IF((L87-I87)/I87&lt;-0.1,"🟡 "&amp;TEXT((L87-I87)/I87,"0.0%")&amp;"  — ZONA DCA  ACUMULA","🔵 "&amp;TEXT((L87-I87)/I87,"0.0%")&amp;"  — HOLDING  MANTÉN"))),"")</f>
        <v/>
      </c>
      <c r="N87" s="2"/>
      <c r="O87" s="2"/>
    </row>
    <row r="88" customFormat="false" ht="21.75" hidden="false" customHeight="true" outlineLevel="0" collapsed="false">
      <c r="A88" s="2"/>
      <c r="B88" s="20"/>
      <c r="C88" s="21"/>
      <c r="D88" s="22" t="str">
        <f aca="false">IFERROR(IF(C88="","",IF(E88="",C88,C88/E88)),"")</f>
        <v/>
      </c>
      <c r="E88" s="23"/>
      <c r="F88" s="24"/>
      <c r="G88" s="25" t="str">
        <f aca="false">IFERROR(IF(D88="","",((D88-H88)/F88)),"")</f>
        <v/>
      </c>
      <c r="H88" s="26"/>
      <c r="I88" s="27" t="str">
        <f aca="false">IFERROR(IF(D88="","",SUM($D$8:D88)),"")</f>
        <v/>
      </c>
      <c r="J88" s="28" t="str">
        <f aca="false">IFERROR(IF(G88="","",SUM($G$8:G88)),"")</f>
        <v/>
      </c>
      <c r="K88" s="24" t="str">
        <f aca="false">IFERROR(IF(J88="","",I88/J88),"")</f>
        <v/>
      </c>
      <c r="L88" s="27" t="str">
        <f aca="false">IFERROR(IF(J88="","",J88*$B$5),"")</f>
        <v/>
      </c>
      <c r="M88" s="29" t="str">
        <f aca="false">IFERROR(IF(I88="","",IF((L88-I88)/I88&gt;0.3,"🟢 TAKE PROFIT  +"&amp;TEXT((L88-I88)/I88,"0.0%")&amp;"  — VENDE PARCIAL",IF((L88-I88)/I88&lt;-0.1,"🟡 "&amp;TEXT((L88-I88)/I88,"0.0%")&amp;"  — ZONA DCA  ACUMULA","🔵 "&amp;TEXT((L88-I88)/I88,"0.0%")&amp;"  — HOLDING  MANTÉN"))),"")</f>
        <v/>
      </c>
      <c r="N88" s="2"/>
      <c r="O88" s="2"/>
    </row>
    <row r="89" customFormat="false" ht="21.75" hidden="false" customHeight="true" outlineLevel="0" collapsed="false">
      <c r="A89" s="2"/>
      <c r="B89" s="38"/>
      <c r="C89" s="30"/>
      <c r="D89" s="39" t="str">
        <f aca="false">IFERROR(IF(C89="","",IF(E89="",C89,C89/E89)),"")</f>
        <v/>
      </c>
      <c r="E89" s="31"/>
      <c r="F89" s="32"/>
      <c r="G89" s="33" t="str">
        <f aca="false">IFERROR(IF(D89="","",((D89-H89)/F89)),"")</f>
        <v/>
      </c>
      <c r="H89" s="37"/>
      <c r="I89" s="34" t="str">
        <f aca="false">IFERROR(IF(D89="","",SUM($D$8:D89)),"")</f>
        <v/>
      </c>
      <c r="J89" s="35" t="str">
        <f aca="false">IFERROR(IF(G89="","",SUM($G$8:G89)),"")</f>
        <v/>
      </c>
      <c r="K89" s="32" t="str">
        <f aca="false">IFERROR(IF(J89="","",I89/J89),"")</f>
        <v/>
      </c>
      <c r="L89" s="34" t="str">
        <f aca="false">IFERROR(IF(J89="","",J89*$B$5),"")</f>
        <v/>
      </c>
      <c r="M89" s="36" t="str">
        <f aca="false">IFERROR(IF(I89="","",IF((L89-I89)/I89&gt;0.3,"🟢 TAKE PROFIT  +"&amp;TEXT((L89-I89)/I89,"0.0%")&amp;"  — VENDE PARCIAL",IF((L89-I89)/I89&lt;-0.1,"🟡 "&amp;TEXT((L89-I89)/I89,"0.0%")&amp;"  — ZONA DCA  ACUMULA","🔵 "&amp;TEXT((L89-I89)/I89,"0.0%")&amp;"  — HOLDING  MANTÉN"))),"")</f>
        <v/>
      </c>
      <c r="N89" s="2"/>
      <c r="O89" s="2"/>
    </row>
    <row r="90" customFormat="false" ht="21.75" hidden="false" customHeight="true" outlineLevel="0" collapsed="false">
      <c r="A90" s="2"/>
      <c r="B90" s="20"/>
      <c r="C90" s="21"/>
      <c r="D90" s="22" t="str">
        <f aca="false">IFERROR(IF(C90="","",IF(E90="",C90,C90/E90)),"")</f>
        <v/>
      </c>
      <c r="E90" s="23"/>
      <c r="F90" s="24"/>
      <c r="G90" s="25" t="str">
        <f aca="false">IFERROR(IF(D90="","",((D90-H90)/F90)),"")</f>
        <v/>
      </c>
      <c r="H90" s="26"/>
      <c r="I90" s="27" t="str">
        <f aca="false">IFERROR(IF(D90="","",SUM($D$8:D90)),"")</f>
        <v/>
      </c>
      <c r="J90" s="28" t="str">
        <f aca="false">IFERROR(IF(G90="","",SUM($G$8:G90)),"")</f>
        <v/>
      </c>
      <c r="K90" s="24" t="str">
        <f aca="false">IFERROR(IF(J90="","",I90/J90),"")</f>
        <v/>
      </c>
      <c r="L90" s="27" t="str">
        <f aca="false">IFERROR(IF(J90="","",J90*$B$5),"")</f>
        <v/>
      </c>
      <c r="M90" s="29" t="str">
        <f aca="false">IFERROR(IF(I90="","",IF((L90-I90)/I90&gt;0.3,"🟢 TAKE PROFIT  +"&amp;TEXT((L90-I90)/I90,"0.0%")&amp;"  — VENDE PARCIAL",IF((L90-I90)/I90&lt;-0.1,"🟡 "&amp;TEXT((L90-I90)/I90,"0.0%")&amp;"  — ZONA DCA  ACUMULA","🔵 "&amp;TEXT((L90-I90)/I90,"0.0%")&amp;"  — HOLDING  MANTÉN"))),"")</f>
        <v/>
      </c>
      <c r="N90" s="2"/>
      <c r="O90" s="2"/>
    </row>
    <row r="91" customFormat="false" ht="21.75" hidden="false" customHeight="true" outlineLevel="0" collapsed="false">
      <c r="A91" s="2"/>
      <c r="B91" s="38"/>
      <c r="C91" s="30"/>
      <c r="D91" s="39" t="str">
        <f aca="false">IFERROR(IF(C91="","",IF(E91="",C91,C91/E91)),"")</f>
        <v/>
      </c>
      <c r="E91" s="31"/>
      <c r="F91" s="32"/>
      <c r="G91" s="33" t="str">
        <f aca="false">IFERROR(IF(D91="","",((D91-H91)/F91)),"")</f>
        <v/>
      </c>
      <c r="H91" s="37"/>
      <c r="I91" s="34" t="str">
        <f aca="false">IFERROR(IF(D91="","",SUM($D$8:D91)),"")</f>
        <v/>
      </c>
      <c r="J91" s="35" t="str">
        <f aca="false">IFERROR(IF(G91="","",SUM($G$8:G91)),"")</f>
        <v/>
      </c>
      <c r="K91" s="32" t="str">
        <f aca="false">IFERROR(IF(J91="","",I91/J91),"")</f>
        <v/>
      </c>
      <c r="L91" s="34" t="str">
        <f aca="false">IFERROR(IF(J91="","",J91*$B$5),"")</f>
        <v/>
      </c>
      <c r="M91" s="36" t="str">
        <f aca="false">IFERROR(IF(I91="","",IF((L91-I91)/I91&gt;0.3,"🟢 TAKE PROFIT  +"&amp;TEXT((L91-I91)/I91,"0.0%")&amp;"  — VENDE PARCIAL",IF((L91-I91)/I91&lt;-0.1,"🟡 "&amp;TEXT((L91-I91)/I91,"0.0%")&amp;"  — ZONA DCA  ACUMULA","🔵 "&amp;TEXT((L91-I91)/I91,"0.0%")&amp;"  — HOLDING  MANTÉN"))),"")</f>
        <v/>
      </c>
      <c r="N91" s="2"/>
      <c r="O91" s="2"/>
    </row>
    <row r="92" customFormat="false" ht="21.75" hidden="false" customHeight="true" outlineLevel="0" collapsed="false">
      <c r="A92" s="2"/>
      <c r="B92" s="20"/>
      <c r="C92" s="21"/>
      <c r="D92" s="22" t="str">
        <f aca="false">IFERROR(IF(C92="","",IF(E92="",C92,C92/E92)),"")</f>
        <v/>
      </c>
      <c r="E92" s="23"/>
      <c r="F92" s="24"/>
      <c r="G92" s="25" t="str">
        <f aca="false">IFERROR(IF(D92="","",((D92-H92)/F92)),"")</f>
        <v/>
      </c>
      <c r="H92" s="26"/>
      <c r="I92" s="27" t="str">
        <f aca="false">IFERROR(IF(D92="","",SUM($D$8:D92)),"")</f>
        <v/>
      </c>
      <c r="J92" s="28" t="str">
        <f aca="false">IFERROR(IF(G92="","",SUM($G$8:G92)),"")</f>
        <v/>
      </c>
      <c r="K92" s="24" t="str">
        <f aca="false">IFERROR(IF(J92="","",I92/J92),"")</f>
        <v/>
      </c>
      <c r="L92" s="27" t="str">
        <f aca="false">IFERROR(IF(J92="","",J92*$B$5),"")</f>
        <v/>
      </c>
      <c r="M92" s="29" t="str">
        <f aca="false">IFERROR(IF(I92="","",IF((L92-I92)/I92&gt;0.3,"🟢 TAKE PROFIT  +"&amp;TEXT((L92-I92)/I92,"0.0%")&amp;"  — VENDE PARCIAL",IF((L92-I92)/I92&lt;-0.1,"🟡 "&amp;TEXT((L92-I92)/I92,"0.0%")&amp;"  — ZONA DCA  ACUMULA","🔵 "&amp;TEXT((L92-I92)/I92,"0.0%")&amp;"  — HOLDING  MANTÉN"))),"")</f>
        <v/>
      </c>
      <c r="N92" s="2"/>
      <c r="O92" s="2"/>
    </row>
    <row r="93" customFormat="false" ht="21.75" hidden="false" customHeight="true" outlineLevel="0" collapsed="false">
      <c r="A93" s="2"/>
      <c r="B93" s="38"/>
      <c r="C93" s="30"/>
      <c r="D93" s="39" t="str">
        <f aca="false">IFERROR(IF(C93="","",IF(E93="",C93,C93/E93)),"")</f>
        <v/>
      </c>
      <c r="E93" s="31"/>
      <c r="F93" s="32"/>
      <c r="G93" s="33" t="str">
        <f aca="false">IFERROR(IF(D93="","",((D93-H93)/F93)),"")</f>
        <v/>
      </c>
      <c r="H93" s="37"/>
      <c r="I93" s="34" t="str">
        <f aca="false">IFERROR(IF(D93="","",SUM($D$8:D93)),"")</f>
        <v/>
      </c>
      <c r="J93" s="35" t="str">
        <f aca="false">IFERROR(IF(G93="","",SUM($G$8:G93)),"")</f>
        <v/>
      </c>
      <c r="K93" s="32" t="str">
        <f aca="false">IFERROR(IF(J93="","",I93/J93),"")</f>
        <v/>
      </c>
      <c r="L93" s="34" t="str">
        <f aca="false">IFERROR(IF(J93="","",J93*$B$5),"")</f>
        <v/>
      </c>
      <c r="M93" s="36" t="str">
        <f aca="false">IFERROR(IF(I93="","",IF((L93-I93)/I93&gt;0.3,"🟢 TAKE PROFIT  +"&amp;TEXT((L93-I93)/I93,"0.0%")&amp;"  — VENDE PARCIAL",IF((L93-I93)/I93&lt;-0.1,"🟡 "&amp;TEXT((L93-I93)/I93,"0.0%")&amp;"  — ZONA DCA  ACUMULA","🔵 "&amp;TEXT((L93-I93)/I93,"0.0%")&amp;"  — HOLDING  MANTÉN"))),"")</f>
        <v/>
      </c>
      <c r="N93" s="2"/>
      <c r="O93" s="2"/>
    </row>
    <row r="94" customFormat="false" ht="21.75" hidden="false" customHeight="true" outlineLevel="0" collapsed="false">
      <c r="A94" s="2"/>
      <c r="B94" s="20"/>
      <c r="C94" s="21"/>
      <c r="D94" s="22" t="str">
        <f aca="false">IFERROR(IF(C94="","",IF(E94="",C94,C94/E94)),"")</f>
        <v/>
      </c>
      <c r="E94" s="23"/>
      <c r="F94" s="24"/>
      <c r="G94" s="25" t="str">
        <f aca="false">IFERROR(IF(D94="","",((D94-H94)/F94)),"")</f>
        <v/>
      </c>
      <c r="H94" s="26"/>
      <c r="I94" s="27" t="str">
        <f aca="false">IFERROR(IF(D94="","",SUM($D$8:D94)),"")</f>
        <v/>
      </c>
      <c r="J94" s="28" t="str">
        <f aca="false">IFERROR(IF(G94="","",SUM($G$8:G94)),"")</f>
        <v/>
      </c>
      <c r="K94" s="24" t="str">
        <f aca="false">IFERROR(IF(J94="","",I94/J94),"")</f>
        <v/>
      </c>
      <c r="L94" s="27" t="str">
        <f aca="false">IFERROR(IF(J94="","",J94*$B$5),"")</f>
        <v/>
      </c>
      <c r="M94" s="29" t="str">
        <f aca="false">IFERROR(IF(I94="","",IF((L94-I94)/I94&gt;0.3,"🟢 TAKE PROFIT  +"&amp;TEXT((L94-I94)/I94,"0.0%")&amp;"  — VENDE PARCIAL",IF((L94-I94)/I94&lt;-0.1,"🟡 "&amp;TEXT((L94-I94)/I94,"0.0%")&amp;"  — ZONA DCA  ACUMULA","🔵 "&amp;TEXT((L94-I94)/I94,"0.0%")&amp;"  — HOLDING  MANTÉN"))),"")</f>
        <v/>
      </c>
      <c r="N94" s="2"/>
      <c r="O94" s="2"/>
    </row>
    <row r="95" customFormat="false" ht="21.75" hidden="false" customHeight="true" outlineLevel="0" collapsed="false">
      <c r="A95" s="2"/>
      <c r="B95" s="38"/>
      <c r="C95" s="30"/>
      <c r="D95" s="39" t="str">
        <f aca="false">IFERROR(IF(C95="","",IF(E95="",C95,C95/E95)),"")</f>
        <v/>
      </c>
      <c r="E95" s="31"/>
      <c r="F95" s="32"/>
      <c r="G95" s="33" t="str">
        <f aca="false">IFERROR(IF(D95="","",((D95-H95)/F95)),"")</f>
        <v/>
      </c>
      <c r="H95" s="37"/>
      <c r="I95" s="34" t="str">
        <f aca="false">IFERROR(IF(D95="","",SUM($D$8:D95)),"")</f>
        <v/>
      </c>
      <c r="J95" s="35" t="str">
        <f aca="false">IFERROR(IF(G95="","",SUM($G$8:G95)),"")</f>
        <v/>
      </c>
      <c r="K95" s="32" t="str">
        <f aca="false">IFERROR(IF(J95="","",I95/J95),"")</f>
        <v/>
      </c>
      <c r="L95" s="34" t="str">
        <f aca="false">IFERROR(IF(J95="","",J95*$B$5),"")</f>
        <v/>
      </c>
      <c r="M95" s="36" t="str">
        <f aca="false">IFERROR(IF(I95="","",IF((L95-I95)/I95&gt;0.3,"🟢 TAKE PROFIT  +"&amp;TEXT((L95-I95)/I95,"0.0%")&amp;"  — VENDE PARCIAL",IF((L95-I95)/I95&lt;-0.1,"🟡 "&amp;TEXT((L95-I95)/I95,"0.0%")&amp;"  — ZONA DCA  ACUMULA","🔵 "&amp;TEXT((L95-I95)/I95,"0.0%")&amp;"  — HOLDING  MANTÉN"))),"")</f>
        <v/>
      </c>
      <c r="N95" s="2"/>
      <c r="O95" s="2"/>
    </row>
    <row r="96" customFormat="false" ht="21.75" hidden="false" customHeight="true" outlineLevel="0" collapsed="false">
      <c r="A96" s="2"/>
      <c r="B96" s="20"/>
      <c r="C96" s="21"/>
      <c r="D96" s="22" t="str">
        <f aca="false">IFERROR(IF(C96="","",IF(E96="",C96,C96/E96)),"")</f>
        <v/>
      </c>
      <c r="E96" s="23"/>
      <c r="F96" s="24"/>
      <c r="G96" s="25" t="str">
        <f aca="false">IFERROR(IF(D96="","",((D96-H96)/F96)),"")</f>
        <v/>
      </c>
      <c r="H96" s="26"/>
      <c r="I96" s="27" t="str">
        <f aca="false">IFERROR(IF(D96="","",SUM($D$8:D96)),"")</f>
        <v/>
      </c>
      <c r="J96" s="28" t="str">
        <f aca="false">IFERROR(IF(G96="","",SUM($G$8:G96)),"")</f>
        <v/>
      </c>
      <c r="K96" s="24" t="str">
        <f aca="false">IFERROR(IF(J96="","",I96/J96),"")</f>
        <v/>
      </c>
      <c r="L96" s="27" t="str">
        <f aca="false">IFERROR(IF(J96="","",J96*$B$5),"")</f>
        <v/>
      </c>
      <c r="M96" s="29" t="str">
        <f aca="false">IFERROR(IF(I96="","",IF((L96-I96)/I96&gt;0.3,"🟢 TAKE PROFIT  +"&amp;TEXT((L96-I96)/I96,"0.0%")&amp;"  — VENDE PARCIAL",IF((L96-I96)/I96&lt;-0.1,"🟡 "&amp;TEXT((L96-I96)/I96,"0.0%")&amp;"  — ZONA DCA  ACUMULA","🔵 "&amp;TEXT((L96-I96)/I96,"0.0%")&amp;"  — HOLDING  MANTÉN"))),"")</f>
        <v/>
      </c>
      <c r="N96" s="2"/>
      <c r="O96" s="2"/>
    </row>
    <row r="97" customFormat="false" ht="21.75" hidden="false" customHeight="true" outlineLevel="0" collapsed="false">
      <c r="A97" s="2"/>
      <c r="B97" s="38"/>
      <c r="C97" s="30"/>
      <c r="D97" s="39" t="str">
        <f aca="false">IFERROR(IF(C97="","",IF(E97="",C97,C97/E97)),"")</f>
        <v/>
      </c>
      <c r="E97" s="31"/>
      <c r="F97" s="32"/>
      <c r="G97" s="33" t="str">
        <f aca="false">IFERROR(IF(D97="","",((D97-H97)/F97)),"")</f>
        <v/>
      </c>
      <c r="H97" s="37"/>
      <c r="I97" s="34" t="str">
        <f aca="false">IFERROR(IF(D97="","",SUM($D$8:D97)),"")</f>
        <v/>
      </c>
      <c r="J97" s="35" t="str">
        <f aca="false">IFERROR(IF(G97="","",SUM($G$8:G97)),"")</f>
        <v/>
      </c>
      <c r="K97" s="32" t="str">
        <f aca="false">IFERROR(IF(J97="","",I97/J97),"")</f>
        <v/>
      </c>
      <c r="L97" s="34" t="str">
        <f aca="false">IFERROR(IF(J97="","",J97*$B$5),"")</f>
        <v/>
      </c>
      <c r="M97" s="36" t="str">
        <f aca="false">IFERROR(IF(I97="","",IF((L97-I97)/I97&gt;0.3,"🟢 TAKE PROFIT  +"&amp;TEXT((L97-I97)/I97,"0.0%")&amp;"  — VENDE PARCIAL",IF((L97-I97)/I97&lt;-0.1,"🟡 "&amp;TEXT((L97-I97)/I97,"0.0%")&amp;"  — ZONA DCA  ACUMULA","🔵 "&amp;TEXT((L97-I97)/I97,"0.0%")&amp;"  — HOLDING  MANTÉN"))),"")</f>
        <v/>
      </c>
      <c r="N97" s="2"/>
      <c r="O97" s="2"/>
    </row>
    <row r="98" customFormat="false" ht="21.75" hidden="false" customHeight="true" outlineLevel="0" collapsed="false">
      <c r="A98" s="2"/>
      <c r="B98" s="20"/>
      <c r="C98" s="21"/>
      <c r="D98" s="22" t="str">
        <f aca="false">IFERROR(IF(C98="","",IF(E98="",C98,C98/E98)),"")</f>
        <v/>
      </c>
      <c r="E98" s="23"/>
      <c r="F98" s="24"/>
      <c r="G98" s="25" t="str">
        <f aca="false">IFERROR(IF(D98="","",((D98-H98)/F98)),"")</f>
        <v/>
      </c>
      <c r="H98" s="26"/>
      <c r="I98" s="27" t="str">
        <f aca="false">IFERROR(IF(D98="","",SUM($D$8:D98)),"")</f>
        <v/>
      </c>
      <c r="J98" s="28" t="str">
        <f aca="false">IFERROR(IF(G98="","",SUM($G$8:G98)),"")</f>
        <v/>
      </c>
      <c r="K98" s="24" t="str">
        <f aca="false">IFERROR(IF(J98="","",I98/J98),"")</f>
        <v/>
      </c>
      <c r="L98" s="27" t="str">
        <f aca="false">IFERROR(IF(J98="","",J98*$B$5),"")</f>
        <v/>
      </c>
      <c r="M98" s="29" t="str">
        <f aca="false">IFERROR(IF(I98="","",IF((L98-I98)/I98&gt;0.3,"🟢 TAKE PROFIT  +"&amp;TEXT((L98-I98)/I98,"0.0%")&amp;"  — VENDE PARCIAL",IF((L98-I98)/I98&lt;-0.1,"🟡 "&amp;TEXT((L98-I98)/I98,"0.0%")&amp;"  — ZONA DCA  ACUMULA","🔵 "&amp;TEXT((L98-I98)/I98,"0.0%")&amp;"  — HOLDING  MANTÉN"))),"")</f>
        <v/>
      </c>
      <c r="N98" s="2"/>
      <c r="O98" s="2"/>
    </row>
    <row r="99" customFormat="false" ht="21.75" hidden="false" customHeight="true" outlineLevel="0" collapsed="false">
      <c r="A99" s="2"/>
      <c r="B99" s="38"/>
      <c r="C99" s="30"/>
      <c r="D99" s="39" t="str">
        <f aca="false">IFERROR(IF(C99="","",IF(E99="",C99,C99/E99)),"")</f>
        <v/>
      </c>
      <c r="E99" s="31"/>
      <c r="F99" s="32"/>
      <c r="G99" s="33" t="str">
        <f aca="false">IFERROR(IF(D99="","",((D99-H99)/F99)),"")</f>
        <v/>
      </c>
      <c r="H99" s="37"/>
      <c r="I99" s="34" t="str">
        <f aca="false">IFERROR(IF(D99="","",SUM($D$8:D99)),"")</f>
        <v/>
      </c>
      <c r="J99" s="35" t="str">
        <f aca="false">IFERROR(IF(G99="","",SUM($G$8:G99)),"")</f>
        <v/>
      </c>
      <c r="K99" s="32" t="str">
        <f aca="false">IFERROR(IF(J99="","",I99/J99),"")</f>
        <v/>
      </c>
      <c r="L99" s="34" t="str">
        <f aca="false">IFERROR(IF(J99="","",J99*$B$5),"")</f>
        <v/>
      </c>
      <c r="M99" s="36" t="str">
        <f aca="false">IFERROR(IF(I99="","",IF((L99-I99)/I99&gt;0.3,"🟢 TAKE PROFIT  +"&amp;TEXT((L99-I99)/I99,"0.0%")&amp;"  — VENDE PARCIAL",IF((L99-I99)/I99&lt;-0.1,"🟡 "&amp;TEXT((L99-I99)/I99,"0.0%")&amp;"  — ZONA DCA  ACUMULA","🔵 "&amp;TEXT((L99-I99)/I99,"0.0%")&amp;"  — HOLDING  MANTÉN"))),"")</f>
        <v/>
      </c>
      <c r="N99" s="2"/>
      <c r="O99" s="2"/>
    </row>
    <row r="100" customFormat="false" ht="21.75" hidden="false" customHeight="true" outlineLevel="0" collapsed="false">
      <c r="A100" s="2"/>
      <c r="B100" s="20"/>
      <c r="C100" s="21"/>
      <c r="D100" s="22" t="str">
        <f aca="false">IFERROR(IF(C100="","",IF(E100="",C100,C100/E100)),"")</f>
        <v/>
      </c>
      <c r="E100" s="23"/>
      <c r="F100" s="24"/>
      <c r="G100" s="25" t="str">
        <f aca="false">IFERROR(IF(D100="","",((D100-H100)/F100)),"")</f>
        <v/>
      </c>
      <c r="H100" s="26"/>
      <c r="I100" s="27" t="str">
        <f aca="false">IFERROR(IF(D100="","",SUM($D$8:D100)),"")</f>
        <v/>
      </c>
      <c r="J100" s="28" t="str">
        <f aca="false">IFERROR(IF(G100="","",SUM($G$8:G100)),"")</f>
        <v/>
      </c>
      <c r="K100" s="24" t="str">
        <f aca="false">IFERROR(IF(J100="","",I100/J100),"")</f>
        <v/>
      </c>
      <c r="L100" s="27" t="str">
        <f aca="false">IFERROR(IF(J100="","",J100*$B$5),"")</f>
        <v/>
      </c>
      <c r="M100" s="29" t="str">
        <f aca="false">IFERROR(IF(I100="","",IF((L100-I100)/I100&gt;0.3,"🟢 TAKE PROFIT  +"&amp;TEXT((L100-I100)/I100,"0.0%")&amp;"  — VENDE PARCIAL",IF((L100-I100)/I100&lt;-0.1,"🟡 "&amp;TEXT((L100-I100)/I100,"0.0%")&amp;"  — ZONA DCA  ACUMULA","🔵 "&amp;TEXT((L100-I100)/I100,"0.0%")&amp;"  — HOLDING  MANTÉN"))),"")</f>
        <v/>
      </c>
      <c r="N100" s="2"/>
      <c r="O100" s="2"/>
    </row>
    <row r="101" customFormat="false" ht="21.75" hidden="false" customHeight="true" outlineLevel="0" collapsed="false">
      <c r="A101" s="2"/>
      <c r="B101" s="38"/>
      <c r="C101" s="30"/>
      <c r="D101" s="39" t="str">
        <f aca="false">IFERROR(IF(C101="","",IF(E101="",C101,C101/E101)),"")</f>
        <v/>
      </c>
      <c r="E101" s="31"/>
      <c r="F101" s="32"/>
      <c r="G101" s="33" t="str">
        <f aca="false">IFERROR(IF(D101="","",((D101-H101)/F101)),"")</f>
        <v/>
      </c>
      <c r="H101" s="37"/>
      <c r="I101" s="34" t="str">
        <f aca="false">IFERROR(IF(D101="","",SUM($D$8:D101)),"")</f>
        <v/>
      </c>
      <c r="J101" s="35" t="str">
        <f aca="false">IFERROR(IF(G101="","",SUM($G$8:G101)),"")</f>
        <v/>
      </c>
      <c r="K101" s="32" t="str">
        <f aca="false">IFERROR(IF(J101="","",I101/J101),"")</f>
        <v/>
      </c>
      <c r="L101" s="34" t="str">
        <f aca="false">IFERROR(IF(J101="","",J101*$B$5),"")</f>
        <v/>
      </c>
      <c r="M101" s="36" t="str">
        <f aca="false">IFERROR(IF(I101="","",IF((L101-I101)/I101&gt;0.3,"🟢 TAKE PROFIT  +"&amp;TEXT((L101-I101)/I101,"0.0%")&amp;"  — VENDE PARCIAL",IF((L101-I101)/I101&lt;-0.1,"🟡 "&amp;TEXT((L101-I101)/I101,"0.0%")&amp;"  — ZONA DCA  ACUMULA","🔵 "&amp;TEXT((L101-I101)/I101,"0.0%")&amp;"  — HOLDING  MANTÉN"))),"")</f>
        <v/>
      </c>
      <c r="N101" s="2"/>
      <c r="O101" s="2"/>
    </row>
    <row r="102" customFormat="false" ht="21.75" hidden="false" customHeight="true" outlineLevel="0" collapsed="false">
      <c r="A102" s="2"/>
      <c r="B102" s="20"/>
      <c r="C102" s="21"/>
      <c r="D102" s="22" t="str">
        <f aca="false">IFERROR(IF(C102="","",IF(E102="",C102,C102/E102)),"")</f>
        <v/>
      </c>
      <c r="E102" s="23"/>
      <c r="F102" s="24"/>
      <c r="G102" s="25" t="str">
        <f aca="false">IFERROR(IF(D102="","",((D102-H102)/F102)),"")</f>
        <v/>
      </c>
      <c r="H102" s="26"/>
      <c r="I102" s="27" t="str">
        <f aca="false">IFERROR(IF(D102="","",SUM($D$8:D102)),"")</f>
        <v/>
      </c>
      <c r="J102" s="28" t="str">
        <f aca="false">IFERROR(IF(G102="","",SUM($G$8:G102)),"")</f>
        <v/>
      </c>
      <c r="K102" s="24" t="str">
        <f aca="false">IFERROR(IF(J102="","",I102/J102),"")</f>
        <v/>
      </c>
      <c r="L102" s="27" t="str">
        <f aca="false">IFERROR(IF(J102="","",J102*$B$5),"")</f>
        <v/>
      </c>
      <c r="M102" s="29" t="str">
        <f aca="false">IFERROR(IF(I102="","",IF((L102-I102)/I102&gt;0.3,"🟢 TAKE PROFIT  +"&amp;TEXT((L102-I102)/I102,"0.0%")&amp;"  — VENDE PARCIAL",IF((L102-I102)/I102&lt;-0.1,"🟡 "&amp;TEXT((L102-I102)/I102,"0.0%")&amp;"  — ZONA DCA  ACUMULA","🔵 "&amp;TEXT((L102-I102)/I102,"0.0%")&amp;"  — HOLDING  MANTÉN"))),"")</f>
        <v/>
      </c>
      <c r="N102" s="2"/>
      <c r="O102" s="2"/>
    </row>
    <row r="103" customFormat="false" ht="21.75" hidden="false" customHeight="true" outlineLevel="0" collapsed="false">
      <c r="A103" s="2"/>
      <c r="B103" s="38"/>
      <c r="C103" s="30"/>
      <c r="D103" s="39" t="str">
        <f aca="false">IFERROR(IF(C103="","",IF(E103="",C103,C103/E103)),"")</f>
        <v/>
      </c>
      <c r="E103" s="31"/>
      <c r="F103" s="32"/>
      <c r="G103" s="33" t="str">
        <f aca="false">IFERROR(IF(D103="","",((D103-H103)/F103)),"")</f>
        <v/>
      </c>
      <c r="H103" s="37"/>
      <c r="I103" s="34" t="str">
        <f aca="false">IFERROR(IF(D103="","",SUM($D$8:D103)),"")</f>
        <v/>
      </c>
      <c r="J103" s="35" t="str">
        <f aca="false">IFERROR(IF(G103="","",SUM($G$8:G103)),"")</f>
        <v/>
      </c>
      <c r="K103" s="32" t="str">
        <f aca="false">IFERROR(IF(J103="","",I103/J103),"")</f>
        <v/>
      </c>
      <c r="L103" s="34" t="str">
        <f aca="false">IFERROR(IF(J103="","",J103*$B$5),"")</f>
        <v/>
      </c>
      <c r="M103" s="36" t="str">
        <f aca="false">IFERROR(IF(I103="","",IF((L103-I103)/I103&gt;0.3,"🟢 TAKE PROFIT  +"&amp;TEXT((L103-I103)/I103,"0.0%")&amp;"  — VENDE PARCIAL",IF((L103-I103)/I103&lt;-0.1,"🟡 "&amp;TEXT((L103-I103)/I103,"0.0%")&amp;"  — ZONA DCA  ACUMULA","🔵 "&amp;TEXT((L103-I103)/I103,"0.0%")&amp;"  — HOLDING  MANTÉN"))),"")</f>
        <v/>
      </c>
      <c r="N103" s="2"/>
      <c r="O103" s="2"/>
    </row>
    <row r="104" customFormat="false" ht="21.75" hidden="false" customHeight="true" outlineLevel="0" collapsed="false">
      <c r="A104" s="2"/>
      <c r="B104" s="20"/>
      <c r="C104" s="21"/>
      <c r="D104" s="22" t="str">
        <f aca="false">IFERROR(IF(C104="","",IF(E104="",C104,C104/E104)),"")</f>
        <v/>
      </c>
      <c r="E104" s="23"/>
      <c r="F104" s="24"/>
      <c r="G104" s="25" t="str">
        <f aca="false">IFERROR(IF(D104="","",((D104-H104)/F104)),"")</f>
        <v/>
      </c>
      <c r="H104" s="26"/>
      <c r="I104" s="27" t="str">
        <f aca="false">IFERROR(IF(D104="","",SUM($D$8:D104)),"")</f>
        <v/>
      </c>
      <c r="J104" s="28" t="str">
        <f aca="false">IFERROR(IF(G104="","",SUM($G$8:G104)),"")</f>
        <v/>
      </c>
      <c r="K104" s="24" t="str">
        <f aca="false">IFERROR(IF(J104="","",I104/J104),"")</f>
        <v/>
      </c>
      <c r="L104" s="27" t="str">
        <f aca="false">IFERROR(IF(J104="","",J104*$B$5),"")</f>
        <v/>
      </c>
      <c r="M104" s="29" t="str">
        <f aca="false">IFERROR(IF(I104="","",IF((L104-I104)/I104&gt;0.3,"🟢 TAKE PROFIT  +"&amp;TEXT((L104-I104)/I104,"0.0%")&amp;"  — VENDE PARCIAL",IF((L104-I104)/I104&lt;-0.1,"🟡 "&amp;TEXT((L104-I104)/I104,"0.0%")&amp;"  — ZONA DCA  ACUMULA","🔵 "&amp;TEXT((L104-I104)/I104,"0.0%")&amp;"  — HOLDING  MANTÉN"))),"")</f>
        <v/>
      </c>
      <c r="N104" s="2"/>
      <c r="O104" s="2"/>
    </row>
    <row r="105" customFormat="false" ht="21.75" hidden="false" customHeight="true" outlineLevel="0" collapsed="false">
      <c r="A105" s="2"/>
      <c r="B105" s="38"/>
      <c r="C105" s="30"/>
      <c r="D105" s="39" t="str">
        <f aca="false">IFERROR(IF(C105="","",IF(E105="",C105,C105/E105)),"")</f>
        <v/>
      </c>
      <c r="E105" s="31"/>
      <c r="F105" s="32"/>
      <c r="G105" s="33" t="str">
        <f aca="false">IFERROR(IF(D105="","",((D105-H105)/F105)),"")</f>
        <v/>
      </c>
      <c r="H105" s="37"/>
      <c r="I105" s="34" t="str">
        <f aca="false">IFERROR(IF(D105="","",SUM($D$8:D105)),"")</f>
        <v/>
      </c>
      <c r="J105" s="35" t="str">
        <f aca="false">IFERROR(IF(G105="","",SUM($G$8:G105)),"")</f>
        <v/>
      </c>
      <c r="K105" s="32" t="str">
        <f aca="false">IFERROR(IF(J105="","",I105/J105),"")</f>
        <v/>
      </c>
      <c r="L105" s="34" t="str">
        <f aca="false">IFERROR(IF(J105="","",J105*$B$5),"")</f>
        <v/>
      </c>
      <c r="M105" s="36" t="str">
        <f aca="false">IFERROR(IF(I105="","",IF((L105-I105)/I105&gt;0.3,"🟢 TAKE PROFIT  +"&amp;TEXT((L105-I105)/I105,"0.0%")&amp;"  — VENDE PARCIAL",IF((L105-I105)/I105&lt;-0.1,"🟡 "&amp;TEXT((L105-I105)/I105,"0.0%")&amp;"  — ZONA DCA  ACUMULA","🔵 "&amp;TEXT((L105-I105)/I105,"0.0%")&amp;"  — HOLDING  MANTÉN"))),"")</f>
        <v/>
      </c>
      <c r="N105" s="2"/>
      <c r="O105" s="2"/>
    </row>
    <row r="106" customFormat="false" ht="21.75" hidden="false" customHeight="true" outlineLevel="0" collapsed="false">
      <c r="A106" s="2"/>
      <c r="B106" s="20"/>
      <c r="C106" s="21"/>
      <c r="D106" s="22" t="str">
        <f aca="false">IFERROR(IF(C106="","",IF(E106="",C106,C106/E106)),"")</f>
        <v/>
      </c>
      <c r="E106" s="23"/>
      <c r="F106" s="24"/>
      <c r="G106" s="25" t="str">
        <f aca="false">IFERROR(IF(D106="","",((D106-H106)/F106)),"")</f>
        <v/>
      </c>
      <c r="H106" s="26"/>
      <c r="I106" s="27" t="str">
        <f aca="false">IFERROR(IF(D106="","",SUM($D$8:D106)),"")</f>
        <v/>
      </c>
      <c r="J106" s="28" t="str">
        <f aca="false">IFERROR(IF(G106="","",SUM($G$8:G106)),"")</f>
        <v/>
      </c>
      <c r="K106" s="24" t="str">
        <f aca="false">IFERROR(IF(J106="","",I106/J106),"")</f>
        <v/>
      </c>
      <c r="L106" s="27" t="str">
        <f aca="false">IFERROR(IF(J106="","",J106*$B$5),"")</f>
        <v/>
      </c>
      <c r="M106" s="29" t="str">
        <f aca="false">IFERROR(IF(I106="","",IF((L106-I106)/I106&gt;0.3,"🟢 TAKE PROFIT  +"&amp;TEXT((L106-I106)/I106,"0.0%")&amp;"  — VENDE PARCIAL",IF((L106-I106)/I106&lt;-0.1,"🟡 "&amp;TEXT((L106-I106)/I106,"0.0%")&amp;"  — ZONA DCA  ACUMULA","🔵 "&amp;TEXT((L106-I106)/I106,"0.0%")&amp;"  — HOLDING  MANTÉN"))),"")</f>
        <v/>
      </c>
      <c r="N106" s="2"/>
      <c r="O106" s="2"/>
    </row>
    <row r="107" customFormat="false" ht="21.75" hidden="false" customHeight="true" outlineLevel="0" collapsed="false">
      <c r="A107" s="2"/>
      <c r="B107" s="38"/>
      <c r="C107" s="30"/>
      <c r="D107" s="39" t="str">
        <f aca="false">IFERROR(IF(C107="","",IF(E107="",C107,C107/E107)),"")</f>
        <v/>
      </c>
      <c r="E107" s="31"/>
      <c r="F107" s="32"/>
      <c r="G107" s="33" t="str">
        <f aca="false">IFERROR(IF(D107="","",((D107-H107)/F107)),"")</f>
        <v/>
      </c>
      <c r="H107" s="37"/>
      <c r="I107" s="34" t="str">
        <f aca="false">IFERROR(IF(D107="","",SUM($D$8:D107)),"")</f>
        <v/>
      </c>
      <c r="J107" s="35" t="str">
        <f aca="false">IFERROR(IF(G107="","",SUM($G$8:G107)),"")</f>
        <v/>
      </c>
      <c r="K107" s="32" t="str">
        <f aca="false">IFERROR(IF(J107="","",I107/J107),"")</f>
        <v/>
      </c>
      <c r="L107" s="34" t="str">
        <f aca="false">IFERROR(IF(J107="","",J107*$B$5),"")</f>
        <v/>
      </c>
      <c r="M107" s="36" t="str">
        <f aca="false">IFERROR(IF(I107="","",IF((L107-I107)/I107&gt;0.3,"🟢 TAKE PROFIT  +"&amp;TEXT((L107-I107)/I107,"0.0%")&amp;"  — VENDE PARCIAL",IF((L107-I107)/I107&lt;-0.1,"🟡 "&amp;TEXT((L107-I107)/I107,"0.0%")&amp;"  — ZONA DCA  ACUMULA","🔵 "&amp;TEXT((L107-I107)/I107,"0.0%")&amp;"  — HOLDING  MANTÉN"))),"")</f>
        <v/>
      </c>
      <c r="N107" s="2"/>
      <c r="O107" s="2"/>
    </row>
    <row r="108" customFormat="false" ht="19.5" hidden="false" customHeight="true" outlineLevel="0" collapsed="false">
      <c r="A108" s="2"/>
      <c r="B108" s="2"/>
      <c r="C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customFormat="false" ht="15" hidden="false" customHeight="true" outlineLevel="0" collapsed="false">
      <c r="A109" s="2"/>
      <c r="B109" s="40" t="s">
        <v>21</v>
      </c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2"/>
      <c r="O109" s="2"/>
    </row>
    <row r="110" customFormat="false" ht="15" hidden="false" customHeight="true" outlineLevel="0" collapsed="false">
      <c r="A110" s="2"/>
      <c r="B110" s="2"/>
      <c r="C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customFormat="false" ht="15" hidden="false" customHeight="true" outlineLevel="0" collapsed="false">
      <c r="A111" s="2"/>
      <c r="B111" s="2"/>
      <c r="C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customFormat="false" ht="15" hidden="false" customHeight="true" outlineLevel="0" collapsed="false">
      <c r="A112" s="2"/>
      <c r="B112" s="2"/>
      <c r="C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customFormat="false" ht="15" hidden="false" customHeight="true" outlineLevel="0" collapsed="false">
      <c r="A113" s="2"/>
      <c r="B113" s="2"/>
      <c r="C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customFormat="false" ht="15" hidden="false" customHeight="true" outlineLevel="0" collapsed="false">
      <c r="A114" s="2"/>
      <c r="B114" s="2"/>
      <c r="C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customFormat="false" ht="15" hidden="false" customHeight="true" outlineLevel="0" collapsed="false">
      <c r="A115" s="2"/>
      <c r="B115" s="2"/>
      <c r="C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2:K2"/>
    <mergeCell ref="M2:M6"/>
    <mergeCell ref="B3:K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6:K6"/>
    <mergeCell ref="B109:M109"/>
  </mergeCells>
  <conditionalFormatting sqref="K8:K107">
    <cfRule type="expression" priority="2" aboveAverage="0" equalAverage="0" bottom="0" percent="0" rank="0" text="" dxfId="0">
      <formula>NOT(ISERROR(SEARCH("TAKE PROFIT",K8)))</formula>
    </cfRule>
    <cfRule type="expression" priority="3" aboveAverage="0" equalAverage="0" bottom="0" percent="0" rank="0" text="" dxfId="1">
      <formula>NOT(ISERROR(SEARCH("DCA",K8)))</formula>
    </cfRule>
    <cfRule type="expression" priority="4" aboveAverage="0" equalAverage="0" bottom="0" percent="0" rank="0" text="" dxfId="2">
      <formula>NOT(ISERROR(SEARCH("HOLDING",K8)))</formula>
    </cfRule>
  </conditionalFormatting>
  <conditionalFormatting sqref="M8:M107">
    <cfRule type="expression" priority="5" aboveAverage="0" equalAverage="0" bottom="0" percent="0" rank="0" text="" dxfId="0">
      <formula>NOT(ISERROR(SEARCH("TAKE PROFIT",M8)))</formula>
    </cfRule>
    <cfRule type="expression" priority="6" aboveAverage="0" equalAverage="0" bottom="0" percent="0" rank="0" text="" dxfId="1">
      <formula>NOT(ISERROR(SEARCH("DCA",M8)))</formula>
    </cfRule>
    <cfRule type="expression" priority="7" aboveAverage="0" equalAverage="0" bottom="0" percent="0" rank="0" text="" dxfId="2">
      <formula>NOT(ISERROR(SEARCH("HOLDING",M8)))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K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4" min="3" style="1" width="22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20"/>
    <col collapsed="false" customWidth="true" hidden="false" outlineLevel="0" max="26" min="8" style="1" width="22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45.75" hidden="false" customHeight="true" outlineLevel="0" collapsed="false">
      <c r="A2" s="2"/>
      <c r="B2" s="41" t="s">
        <v>22</v>
      </c>
      <c r="C2" s="41"/>
      <c r="D2" s="41"/>
      <c r="E2" s="41"/>
      <c r="F2" s="41"/>
      <c r="G2" s="41"/>
      <c r="H2" s="41"/>
      <c r="I2" s="41"/>
    </row>
    <row r="3" customFormat="false" ht="15.75" hidden="false" customHeight="true" outlineLevel="0" collapsed="false">
      <c r="A3" s="2"/>
      <c r="B3" s="7" t="s">
        <v>23</v>
      </c>
      <c r="C3" s="7"/>
      <c r="D3" s="7"/>
      <c r="E3" s="7"/>
      <c r="F3" s="7"/>
      <c r="G3" s="7"/>
      <c r="H3" s="7"/>
      <c r="I3" s="7"/>
    </row>
    <row r="4" customFormat="false" ht="19.5" hidden="false" customHeight="true" outlineLevel="0" collapsed="false">
      <c r="A4" s="2"/>
      <c r="B4" s="2"/>
      <c r="C4" s="2"/>
      <c r="D4" s="2"/>
      <c r="E4" s="2"/>
      <c r="F4" s="2"/>
      <c r="G4" s="2"/>
      <c r="H4" s="3"/>
      <c r="I4" s="3"/>
    </row>
    <row r="5" customFormat="false" ht="31.5" hidden="false" customHeight="true" outlineLevel="0" collapsed="false">
      <c r="A5" s="2"/>
      <c r="B5" s="42" t="s">
        <v>24</v>
      </c>
      <c r="C5" s="42" t="s">
        <v>25</v>
      </c>
      <c r="D5" s="42" t="s">
        <v>26</v>
      </c>
      <c r="E5" s="42" t="s">
        <v>27</v>
      </c>
      <c r="F5" s="42" t="s">
        <v>28</v>
      </c>
      <c r="G5" s="43" t="s">
        <v>29</v>
      </c>
      <c r="H5" s="43" t="s">
        <v>30</v>
      </c>
      <c r="I5" s="43" t="s">
        <v>31</v>
      </c>
      <c r="J5" s="44" t="s">
        <v>32</v>
      </c>
      <c r="K5" s="44" t="s">
        <v>33</v>
      </c>
    </row>
    <row r="6" customFormat="false" ht="25.5" hidden="false" customHeight="true" outlineLevel="0" collapsed="false">
      <c r="A6" s="2"/>
      <c r="B6" s="45" t="n">
        <v>2023</v>
      </c>
      <c r="C6" s="46" t="n">
        <f aca="false">IFERROR(SUMPRODUCT((YEAR('TABLERO DCA'!$B$8:$B$107)=2023)*N('TABLERO DCA'!$D$8:$D$107)),0)</f>
        <v>0</v>
      </c>
      <c r="D6" s="47" t="n">
        <f aca="false">IFERROR(SUMPRODUCT((YEAR('TABLERO DCA'!$B$8:$B$107)=2023)*N('TABLERO DCA'!$G$8:$G$107)),0)</f>
        <v>0</v>
      </c>
      <c r="E6" s="48" t="n">
        <f aca="false">IFERROR(SUMPRODUCT((YEAR('TABLERO DCA'!$B$8:$B$107)=2023)*N('TABLERO DCA'!$H$8:$H$107)),0)</f>
        <v>0</v>
      </c>
      <c r="F6" s="49" t="n">
        <f aca="false">IFERROR(COUNTIF('TABLERO DCA'!$B$8:$B$107,"&gt;="&amp;DATE(2023,1,1))-COUNTIF('TABLERO DCA'!$B$8:$B$107,"&gt;="&amp;DATE(2024,1,1)),0)</f>
        <v>0</v>
      </c>
      <c r="G6" s="50" t="n">
        <f aca="false">IFERROR(SUMPRODUCT((YEAR('REGISTRO VENTAS'!$B$8:$B$107)=2023)*('REGISTRO VENTAS'!$D$8:$D$107)),0)</f>
        <v>0</v>
      </c>
      <c r="H6" s="51" t="n">
        <f aca="false">IFERROR(SUMPRODUCT((YEAR('REGISTRO VENTAS'!$B$8:$B$107)=2023)*('REGISTRO VENTAS'!$F$8:$F$107)),0)</f>
        <v>0</v>
      </c>
      <c r="I6" s="52" t="n">
        <f aca="false">IFERROR(SUMPRODUCT((YEAR('REGISTRO VENTAS'!$B$8:$B$107)=2023)*('REGISTRO VENTAS'!$J$8:$J$107)),0)</f>
        <v>0</v>
      </c>
      <c r="J6" s="53" t="n">
        <f aca="false">IFERROR(IF(C6=0,0,D6*'TABLERO DCA'!$B$5 - C6),0)</f>
        <v>0</v>
      </c>
      <c r="K6" s="54" t="n">
        <f aca="false">IFERROR(IF(C6=0,0,J6/C6),0)</f>
        <v>0</v>
      </c>
    </row>
    <row r="7" customFormat="false" ht="25.5" hidden="false" customHeight="true" outlineLevel="0" collapsed="false">
      <c r="A7" s="2"/>
      <c r="B7" s="55" t="n">
        <v>2024</v>
      </c>
      <c r="C7" s="56" t="n">
        <f aca="false">IFERROR(SUMPRODUCT((YEAR('TABLERO DCA'!$B$8:$B$107)=2024)*N('TABLERO DCA'!$D$8:$D$107)),0)</f>
        <v>0</v>
      </c>
      <c r="D7" s="57" t="n">
        <f aca="false">IFERROR(SUMPRODUCT((YEAR('TABLERO DCA'!$B$8:$B$107)=2024)*N('TABLERO DCA'!$G$8:$G$107)),0)</f>
        <v>0</v>
      </c>
      <c r="E7" s="58" t="n">
        <f aca="false">IFERROR(SUMPRODUCT((YEAR('TABLERO DCA'!$B$8:$B$107)=2024)*N('TABLERO DCA'!$H$8:$H$107)),0)</f>
        <v>0</v>
      </c>
      <c r="F7" s="59" t="n">
        <f aca="false">IFERROR(COUNTIF('TABLERO DCA'!$B$8:$B$107,"&gt;="&amp;DATE(2024,1,1))-COUNTIF('TABLERO DCA'!$B$8:$B$107,"&gt;="&amp;DATE(2025,1,1)),0)</f>
        <v>0</v>
      </c>
      <c r="G7" s="60" t="n">
        <f aca="false">IFERROR(SUMPRODUCT((YEAR('REGISTRO VENTAS'!$B$8:$B$107)=2024)*('REGISTRO VENTAS'!$D$8:$D$107)),0)</f>
        <v>0</v>
      </c>
      <c r="H7" s="61" t="n">
        <f aca="false">IFERROR(SUMPRODUCT((YEAR('REGISTRO VENTAS'!$B$8:$B$107)=2024)*('REGISTRO VENTAS'!$F$8:$F$107)),0)</f>
        <v>0</v>
      </c>
      <c r="I7" s="62" t="n">
        <f aca="false">IFERROR(SUMPRODUCT((YEAR('REGISTRO VENTAS'!$B$8:$B$107)=2024)*('REGISTRO VENTAS'!$J$8:$J$107)),0)</f>
        <v>0</v>
      </c>
      <c r="J7" s="63" t="n">
        <f aca="false">IFERROR(IF(C7=0,0,D7*'TABLERO DCA'!$B$5 - C7),0)</f>
        <v>0</v>
      </c>
      <c r="K7" s="64" t="n">
        <f aca="false">IFERROR(IF(C7=0,0,J7/C7),0)</f>
        <v>0</v>
      </c>
    </row>
    <row r="8" customFormat="false" ht="25.5" hidden="false" customHeight="true" outlineLevel="0" collapsed="false">
      <c r="A8" s="2"/>
      <c r="B8" s="45" t="n">
        <v>2025</v>
      </c>
      <c r="C8" s="46" t="n">
        <f aca="false">IFERROR(SUMPRODUCT((YEAR('TABLERO DCA'!$B$8:$B$107)=2025)*N('TABLERO DCA'!$D$8:$D$107)),0)</f>
        <v>0</v>
      </c>
      <c r="D8" s="47" t="n">
        <f aca="false">IFERROR(SUMPRODUCT((YEAR('TABLERO DCA'!$B$8:$B$107)=2025)*N('TABLERO DCA'!$G$8:$G$107)),0)</f>
        <v>0</v>
      </c>
      <c r="E8" s="48" t="n">
        <f aca="false">IFERROR(SUMPRODUCT((YEAR('TABLERO DCA'!$B$8:$B$107)=2025)*N('TABLERO DCA'!$H$8:$H$107)),0)</f>
        <v>0</v>
      </c>
      <c r="F8" s="49" t="n">
        <f aca="false">IFERROR(COUNTIF('TABLERO DCA'!$B$8:$B$107,"&gt;="&amp;DATE(2025,1,1))-COUNTIF('TABLERO DCA'!$B$8:$B$107,"&gt;="&amp;DATE(2026,1,1)),0)</f>
        <v>0</v>
      </c>
      <c r="G8" s="50" t="n">
        <f aca="false">IFERROR(SUMPRODUCT((YEAR('REGISTRO VENTAS'!$B$8:$B$107)=2025)*('REGISTRO VENTAS'!$D$8:$D$107)),0)</f>
        <v>0</v>
      </c>
      <c r="H8" s="51" t="n">
        <f aca="false">IFERROR(SUMPRODUCT((YEAR('REGISTRO VENTAS'!$B$8:$B$107)=2025)*('REGISTRO VENTAS'!$F$8:$F$107)),0)</f>
        <v>0</v>
      </c>
      <c r="I8" s="52" t="n">
        <f aca="false">IFERROR(SUMPRODUCT((YEAR('REGISTRO VENTAS'!$B$8:$B$107)=2025)*('REGISTRO VENTAS'!$J$8:$J$107)),0)</f>
        <v>0</v>
      </c>
      <c r="J8" s="53" t="n">
        <f aca="false">IFERROR(IF(C8=0,0,D8*'TABLERO DCA'!$B$5 - C8),0)</f>
        <v>0</v>
      </c>
      <c r="K8" s="54" t="n">
        <f aca="false">IFERROR(IF(C8=0,0,J8/C8),0)</f>
        <v>0</v>
      </c>
    </row>
    <row r="9" customFormat="false" ht="25.5" hidden="false" customHeight="true" outlineLevel="0" collapsed="false">
      <c r="A9" s="2"/>
      <c r="B9" s="55" t="n">
        <v>2026</v>
      </c>
      <c r="C9" s="56" t="n">
        <f aca="false">IFERROR(SUMPRODUCT((YEAR('TABLERO DCA'!$B$8:$B$107)=2026)*N('TABLERO DCA'!$D$8:$D$107)),0)</f>
        <v>4326.56603810894</v>
      </c>
      <c r="D9" s="57" t="n">
        <f aca="false">IFERROR(SUMPRODUCT((YEAR('TABLERO DCA'!$B$8:$B$107)=2026)*N('TABLERO DCA'!$G$8:$G$107)),0)</f>
        <v>0.0673165368968881</v>
      </c>
      <c r="E9" s="58" t="n">
        <f aca="false">IFERROR(SUMPRODUCT((YEAR('TABLERO DCA'!$B$8:$B$107)=2026)*N('TABLERO DCA'!$H$8:$H$107)),0)</f>
        <v>0</v>
      </c>
      <c r="F9" s="59" t="n">
        <f aca="false">IFERROR(COUNTIF('TABLERO DCA'!$B$8:$B$107,"&gt;="&amp;DATE(2026,1,1))-COUNTIF('TABLERO DCA'!$B$8:$B$107,"&gt;="&amp;DATE(2027,1,1)),0)</f>
        <v>8</v>
      </c>
      <c r="G9" s="60" t="n">
        <f aca="false">IFERROR(SUMPRODUCT((YEAR('REGISTRO VENTAS'!$B$8:$B$107)=2026)*('REGISTRO VENTAS'!$D$8:$D$107)),0)</f>
        <v>0</v>
      </c>
      <c r="H9" s="61" t="n">
        <f aca="false">IFERROR(SUMPRODUCT((YEAR('REGISTRO VENTAS'!$B$8:$B$107)=2026)*('REGISTRO VENTAS'!$F$8:$F$107)),0)</f>
        <v>0</v>
      </c>
      <c r="I9" s="62" t="n">
        <f aca="false">IFERROR(SUMPRODUCT((YEAR('REGISTRO VENTAS'!$B$8:$B$107)=2026)*('REGISTRO VENTAS'!$J$8:$J$107)),0)</f>
        <v>0</v>
      </c>
      <c r="J9" s="63" t="n">
        <f aca="false">IFERROR(IF(C9=0,0,D9*'TABLERO DCA'!$B$5 - C9),0)</f>
        <v>3078.25302054876</v>
      </c>
      <c r="K9" s="64" t="n">
        <f aca="false">IFERROR(IF(C9=0,0,J9/C9),0)</f>
        <v>0.711477183853226</v>
      </c>
    </row>
    <row r="10" customFormat="false" ht="25.5" hidden="false" customHeight="true" outlineLevel="0" collapsed="false">
      <c r="A10" s="2"/>
      <c r="B10" s="45" t="n">
        <v>2027</v>
      </c>
      <c r="C10" s="46" t="n">
        <f aca="false">IFERROR(SUMPRODUCT((YEAR('TABLERO DCA'!$B$8:$B$107)=2027)*N('TABLERO DCA'!$D$8:$D$107)),0)</f>
        <v>0</v>
      </c>
      <c r="D10" s="47" t="n">
        <f aca="false">IFERROR(SUMPRODUCT((YEAR('TABLERO DCA'!$B$8:$B$107)=2027)*N('TABLERO DCA'!$G$8:$G$107)),0)</f>
        <v>0</v>
      </c>
      <c r="E10" s="48" t="n">
        <f aca="false">IFERROR(SUMPRODUCT((YEAR('TABLERO DCA'!$B$8:$B$107)=2027)*N('TABLERO DCA'!$H$8:$H$107)),0)</f>
        <v>0</v>
      </c>
      <c r="F10" s="49" t="n">
        <f aca="false">IFERROR(COUNTIF('TABLERO DCA'!$B$8:$B$107,"&gt;="&amp;DATE(2027,1,1))-COUNTIF('TABLERO DCA'!$B$8:$B$107,"&gt;="&amp;DATE(2028,1,1)),0)</f>
        <v>0</v>
      </c>
      <c r="G10" s="50" t="n">
        <f aca="false">IFERROR(SUMPRODUCT((YEAR('REGISTRO VENTAS'!$B$8:$B$107)=2027)*('REGISTRO VENTAS'!$D$8:$D$107)),0)</f>
        <v>0</v>
      </c>
      <c r="H10" s="51" t="n">
        <f aca="false">IFERROR(SUMPRODUCT((YEAR('REGISTRO VENTAS'!$B$8:$B$107)=2027)*('REGISTRO VENTAS'!$F$8:$F$107)),0)</f>
        <v>0</v>
      </c>
      <c r="I10" s="52" t="n">
        <f aca="false">IFERROR(SUMPRODUCT((YEAR('REGISTRO VENTAS'!$B$8:$B$107)=2027)*('REGISTRO VENTAS'!$J$8:$J$107)),0)</f>
        <v>0</v>
      </c>
      <c r="J10" s="53" t="n">
        <f aca="false">IFERROR(IF(C10=0,0,D10*'TABLERO DCA'!$B$5 - C10),0)</f>
        <v>0</v>
      </c>
      <c r="K10" s="54" t="n">
        <f aca="false">IFERROR(IF(C10=0,0,J10/C10),0)</f>
        <v>0</v>
      </c>
    </row>
    <row r="11" customFormat="false" ht="25.5" hidden="false" customHeight="true" outlineLevel="0" collapsed="false">
      <c r="A11" s="2"/>
      <c r="B11" s="55" t="n">
        <v>2028</v>
      </c>
      <c r="C11" s="56" t="n">
        <f aca="false">IFERROR(SUMPRODUCT((YEAR('TABLERO DCA'!$B$8:$B$107)=2028)*N('TABLERO DCA'!$D$8:$D$107)),0)</f>
        <v>0</v>
      </c>
      <c r="D11" s="57" t="n">
        <f aca="false">IFERROR(SUMPRODUCT((YEAR('TABLERO DCA'!$B$8:$B$107)=2028)*N('TABLERO DCA'!$G$8:$G$107)),0)</f>
        <v>0</v>
      </c>
      <c r="E11" s="58" t="n">
        <f aca="false">IFERROR(SUMPRODUCT((YEAR('TABLERO DCA'!$B$8:$B$107)=2028)*N('TABLERO DCA'!$H$8:$H$107)),0)</f>
        <v>0</v>
      </c>
      <c r="F11" s="59" t="n">
        <f aca="false">IFERROR(COUNTIF('TABLERO DCA'!$B$8:$B$107,"&gt;="&amp;DATE(2028,1,1))-COUNTIF('TABLERO DCA'!$B$8:$B$107,"&gt;="&amp;DATE(2029,1,1)),0)</f>
        <v>0</v>
      </c>
      <c r="G11" s="60" t="n">
        <f aca="false">IFERROR(SUMPRODUCT((YEAR('REGISTRO VENTAS'!$B$8:$B$107)=2028)*('REGISTRO VENTAS'!$D$8:$D$107)),0)</f>
        <v>0</v>
      </c>
      <c r="H11" s="61" t="n">
        <f aca="false">IFERROR(SUMPRODUCT((YEAR('REGISTRO VENTAS'!$B$8:$B$107)=2028)*('REGISTRO VENTAS'!$F$8:$F$107)),0)</f>
        <v>0</v>
      </c>
      <c r="I11" s="62" t="n">
        <f aca="false">IFERROR(SUMPRODUCT((YEAR('REGISTRO VENTAS'!$B$8:$B$107)=2028)*('REGISTRO VENTAS'!$J$8:$J$107)),0)</f>
        <v>0</v>
      </c>
      <c r="J11" s="63" t="n">
        <f aca="false">IFERROR(IF(C11=0,0,D11*'TABLERO DCA'!$B$5 - C11),0)</f>
        <v>0</v>
      </c>
      <c r="K11" s="64" t="n">
        <f aca="false">IFERROR(IF(C11=0,0,J11/C11),0)</f>
        <v>0</v>
      </c>
    </row>
    <row r="12" customFormat="false" ht="25.5" hidden="false" customHeight="true" outlineLevel="0" collapsed="false">
      <c r="A12" s="2"/>
      <c r="B12" s="45" t="n">
        <v>2029</v>
      </c>
      <c r="C12" s="46" t="n">
        <f aca="false">IFERROR(SUMPRODUCT((YEAR('TABLERO DCA'!$B$8:$B$107)=2029)*N('TABLERO DCA'!$D$8:$D$107)),0)</f>
        <v>0</v>
      </c>
      <c r="D12" s="47" t="n">
        <f aca="false">IFERROR(SUMPRODUCT((YEAR('TABLERO DCA'!$B$8:$B$107)=2029)*N('TABLERO DCA'!$G$8:$G$107)),0)</f>
        <v>0</v>
      </c>
      <c r="E12" s="48" t="n">
        <f aca="false">IFERROR(SUMPRODUCT((YEAR('TABLERO DCA'!$B$8:$B$107)=2029)*N('TABLERO DCA'!$H$8:$H$107)),0)</f>
        <v>0</v>
      </c>
      <c r="F12" s="49" t="n">
        <f aca="false">IFERROR(COUNTIF('TABLERO DCA'!$B$8:$B$107,"&gt;="&amp;DATE(2029,1,1))-COUNTIF('TABLERO DCA'!$B$8:$B$107,"&gt;="&amp;DATE(2030,1,1)),0)</f>
        <v>0</v>
      </c>
      <c r="G12" s="50" t="n">
        <f aca="false">IFERROR(SUMPRODUCT((YEAR('REGISTRO VENTAS'!$B$8:$B$107)=2029)*('REGISTRO VENTAS'!$D$8:$D$107)),0)</f>
        <v>0</v>
      </c>
      <c r="H12" s="51" t="n">
        <f aca="false">IFERROR(SUMPRODUCT((YEAR('REGISTRO VENTAS'!$B$8:$B$107)=2029)*('REGISTRO VENTAS'!$F$8:$F$107)),0)</f>
        <v>0</v>
      </c>
      <c r="I12" s="52" t="n">
        <f aca="false">IFERROR(SUMPRODUCT((YEAR('REGISTRO VENTAS'!$B$8:$B$107)=2029)*('REGISTRO VENTAS'!$J$8:$J$107)),0)</f>
        <v>0</v>
      </c>
      <c r="J12" s="53" t="n">
        <f aca="false">IFERROR(IF(C12=0,0,D12*'TABLERO DCA'!$B$5 - C12),0)</f>
        <v>0</v>
      </c>
      <c r="K12" s="54" t="n">
        <f aca="false">IFERROR(IF(C12=0,0,J12/C12),0)</f>
        <v>0</v>
      </c>
    </row>
    <row r="13" customFormat="false" ht="25.5" hidden="false" customHeight="true" outlineLevel="0" collapsed="false">
      <c r="A13" s="2"/>
      <c r="B13" s="55" t="n">
        <v>2030</v>
      </c>
      <c r="C13" s="56" t="n">
        <f aca="false">IFERROR(SUMPRODUCT((YEAR('TABLERO DCA'!$B$8:$B$107)=2030)*N('TABLERO DCA'!$D$8:$D$107)),0)</f>
        <v>0</v>
      </c>
      <c r="D13" s="57" t="n">
        <f aca="false">IFERROR(SUMPRODUCT((YEAR('TABLERO DCA'!$B$8:$B$107)=2030)*N('TABLERO DCA'!$G$8:$G$107)),0)</f>
        <v>0</v>
      </c>
      <c r="E13" s="58" t="n">
        <f aca="false">IFERROR(SUMPRODUCT((YEAR('TABLERO DCA'!$B$8:$B$107)=2030)*N('TABLERO DCA'!$H$8:$H$107)),0)</f>
        <v>0</v>
      </c>
      <c r="F13" s="59" t="n">
        <f aca="false">IFERROR(COUNTIF('TABLERO DCA'!$B$8:$B$107,"&gt;="&amp;DATE(2030,1,1))-COUNTIF('TABLERO DCA'!$B$8:$B$107,"&gt;="&amp;DATE(2031,1,1)),0)</f>
        <v>0</v>
      </c>
      <c r="G13" s="60" t="n">
        <f aca="false">IFERROR(SUMPRODUCT((YEAR('REGISTRO VENTAS'!$B$8:$B$107)=2030)*('REGISTRO VENTAS'!$D$8:$D$107)),0)</f>
        <v>0</v>
      </c>
      <c r="H13" s="61" t="n">
        <f aca="false">IFERROR(SUMPRODUCT((YEAR('REGISTRO VENTAS'!$B$8:$B$107)=2030)*('REGISTRO VENTAS'!$F$8:$F$107)),0)</f>
        <v>0</v>
      </c>
      <c r="I13" s="62" t="n">
        <f aca="false">IFERROR(SUMPRODUCT((YEAR('REGISTRO VENTAS'!$B$8:$B$107)=2030)*('REGISTRO VENTAS'!$J$8:$J$107)),0)</f>
        <v>0</v>
      </c>
      <c r="J13" s="63" t="n">
        <f aca="false">IFERROR(IF(C13=0,0,D13*'TABLERO DCA'!$B$5 - C13),0)</f>
        <v>0</v>
      </c>
      <c r="K13" s="64" t="n">
        <f aca="false">IFERROR(IF(C13=0,0,J13/C13),0)</f>
        <v>0</v>
      </c>
    </row>
    <row r="14" customFormat="false" ht="30" hidden="false" customHeight="true" outlineLevel="0" collapsed="false">
      <c r="A14" s="2"/>
      <c r="B14" s="65" t="s">
        <v>34</v>
      </c>
      <c r="C14" s="66" t="n">
        <f aca="false">SUM(C6:C13)</f>
        <v>4326.56603810894</v>
      </c>
      <c r="D14" s="67" t="n">
        <f aca="false">SUM(D6:D13)</f>
        <v>0.0673165368968881</v>
      </c>
      <c r="E14" s="68" t="n">
        <f aca="false">SUM(E6:E13)</f>
        <v>0</v>
      </c>
      <c r="F14" s="69" t="n">
        <f aca="false">SUM(F6:F13)</f>
        <v>8</v>
      </c>
      <c r="G14" s="70" t="n">
        <f aca="false">SUM(G6:G13)</f>
        <v>0</v>
      </c>
      <c r="H14" s="71" t="n">
        <f aca="false">SUM(H6:H13)</f>
        <v>0</v>
      </c>
      <c r="I14" s="71" t="n">
        <f aca="false">SUM(I6:I13)</f>
        <v>0</v>
      </c>
      <c r="J14" s="72" t="n">
        <f aca="false">SUM(J6:J13)</f>
        <v>3078.25302054876</v>
      </c>
      <c r="K14" s="73" t="n">
        <f aca="false">IFERROR(IF(C14=0,0,J14/C14),0)</f>
        <v>0.711477183853226</v>
      </c>
    </row>
    <row r="15" customFormat="false" ht="15" hidden="false" customHeight="tru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9.5" hidden="false" customHeight="true" outlineLevel="0" collapsed="false">
      <c r="A16" s="2"/>
      <c r="B16" s="74" t="s">
        <v>35</v>
      </c>
      <c r="C16" s="74"/>
      <c r="D16" s="74"/>
      <c r="E16" s="74"/>
      <c r="F16" s="74"/>
      <c r="G16" s="2"/>
      <c r="H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15" hidden="false" customHeight="true" outlineLevel="0" collapsed="false">
      <c r="A21" s="2"/>
      <c r="B21" s="2"/>
      <c r="C21" s="2"/>
      <c r="D21" s="2"/>
      <c r="E21" s="2"/>
      <c r="F21" s="2"/>
      <c r="G21" s="2"/>
      <c r="H21" s="2"/>
    </row>
    <row r="22" customFormat="false" ht="15" hidden="false" customHeight="true" outlineLevel="0" collapsed="false">
      <c r="A22" s="2"/>
      <c r="B22" s="2"/>
      <c r="C22" s="2"/>
      <c r="D22" s="2"/>
      <c r="E22" s="2"/>
      <c r="F22" s="2"/>
      <c r="G22" s="2"/>
      <c r="H22" s="2"/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5" hidden="false" customHeight="true" outlineLevel="0" collapsed="false">
      <c r="A25" s="2"/>
      <c r="B25" s="2"/>
      <c r="C25" s="2"/>
      <c r="D25" s="2"/>
      <c r="E25" s="2"/>
      <c r="F25" s="2"/>
      <c r="G25" s="2"/>
      <c r="H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</row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B2:I2"/>
    <mergeCell ref="B3:I3"/>
    <mergeCell ref="B16:F16"/>
  </mergeCells>
  <conditionalFormatting sqref="I6">
    <cfRule type="expression" priority="2" aboveAverage="0" equalAverage="0" bottom="0" percent="0" rank="0" text="" dxfId="3">
      <formula>I6&gt;0</formula>
    </cfRule>
  </conditionalFormatting>
  <conditionalFormatting sqref="I7">
    <cfRule type="expression" priority="3" aboveAverage="0" equalAverage="0" bottom="0" percent="0" rank="0" text="" dxfId="3">
      <formula>I7&gt;0</formula>
    </cfRule>
  </conditionalFormatting>
  <conditionalFormatting sqref="I8">
    <cfRule type="expression" priority="4" aboveAverage="0" equalAverage="0" bottom="0" percent="0" rank="0" text="" dxfId="3">
      <formula>I8&gt;0</formula>
    </cfRule>
  </conditionalFormatting>
  <conditionalFormatting sqref="I9">
    <cfRule type="expression" priority="5" aboveAverage="0" equalAverage="0" bottom="0" percent="0" rank="0" text="" dxfId="3">
      <formula>I9&gt;0</formula>
    </cfRule>
  </conditionalFormatting>
  <conditionalFormatting sqref="I10">
    <cfRule type="expression" priority="6" aboveAverage="0" equalAverage="0" bottom="0" percent="0" rank="0" text="" dxfId="3">
      <formula>I10&gt;0</formula>
    </cfRule>
  </conditionalFormatting>
  <conditionalFormatting sqref="I11">
    <cfRule type="expression" priority="7" aboveAverage="0" equalAverage="0" bottom="0" percent="0" rank="0" text="" dxfId="3">
      <formula>I11&gt;0</formula>
    </cfRule>
  </conditionalFormatting>
  <conditionalFormatting sqref="I12">
    <cfRule type="expression" priority="8" aboveAverage="0" equalAverage="0" bottom="0" percent="0" rank="0" text="" dxfId="3">
      <formula>I12&gt;0</formula>
    </cfRule>
  </conditionalFormatting>
  <conditionalFormatting sqref="I13">
    <cfRule type="expression" priority="9" aboveAverage="0" equalAverage="0" bottom="0" percent="0" rank="0" text="" dxfId="3">
      <formula>I13&gt;0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F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68"/>
    <col collapsed="false" customWidth="true" hidden="false" outlineLevel="0" max="4" min="4" style="1" width="3"/>
    <col collapsed="false" customWidth="true" hidden="false" outlineLevel="0" max="26" min="5" style="1" width="8.71"/>
  </cols>
  <sheetData>
    <row r="1" customFormat="false" ht="7.5" hidden="false" customHeight="true" outlineLevel="0" collapsed="false">
      <c r="A1" s="2"/>
      <c r="B1" s="2"/>
      <c r="C1" s="2"/>
      <c r="D1" s="2"/>
      <c r="E1" s="2"/>
      <c r="F1" s="2"/>
    </row>
    <row r="2" customFormat="false" ht="45.75" hidden="false" customHeight="true" outlineLevel="0" collapsed="false">
      <c r="A2" s="2"/>
      <c r="B2" s="75" t="s">
        <v>36</v>
      </c>
      <c r="C2" s="75"/>
      <c r="D2" s="2"/>
      <c r="E2" s="2"/>
      <c r="F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</row>
    <row r="4" customFormat="false" ht="27.75" hidden="false" customHeight="true" outlineLevel="0" collapsed="false">
      <c r="A4" s="2"/>
      <c r="B4" s="76" t="s">
        <v>37</v>
      </c>
      <c r="C4" s="76"/>
      <c r="D4" s="2"/>
      <c r="E4" s="2"/>
      <c r="F4" s="2"/>
    </row>
    <row r="5" customFormat="false" ht="24" hidden="false" customHeight="true" outlineLevel="0" collapsed="false">
      <c r="A5" s="2"/>
      <c r="B5" s="77" t="s">
        <v>38</v>
      </c>
      <c r="C5" s="78" t="s">
        <v>39</v>
      </c>
      <c r="D5" s="2"/>
      <c r="E5" s="2"/>
      <c r="F5" s="2"/>
    </row>
    <row r="6" customFormat="false" ht="27.75" hidden="false" customHeight="true" outlineLevel="0" collapsed="false">
      <c r="A6" s="2"/>
      <c r="B6" s="76" t="s">
        <v>40</v>
      </c>
      <c r="C6" s="76"/>
      <c r="D6" s="2"/>
      <c r="E6" s="2"/>
      <c r="F6" s="2"/>
    </row>
    <row r="7" customFormat="false" ht="24" hidden="false" customHeight="true" outlineLevel="0" collapsed="false">
      <c r="A7" s="2"/>
      <c r="B7" s="77" t="s">
        <v>41</v>
      </c>
      <c r="C7" s="78" t="s">
        <v>42</v>
      </c>
      <c r="D7" s="2"/>
      <c r="E7" s="2"/>
      <c r="F7" s="2"/>
    </row>
    <row r="8" customFormat="false" ht="24" hidden="false" customHeight="true" outlineLevel="0" collapsed="false">
      <c r="A8" s="2"/>
      <c r="B8" s="79" t="s">
        <v>43</v>
      </c>
      <c r="C8" s="80" t="s">
        <v>44</v>
      </c>
      <c r="D8" s="2"/>
      <c r="E8" s="2"/>
      <c r="F8" s="2"/>
    </row>
    <row r="9" customFormat="false" ht="24" hidden="false" customHeight="true" outlineLevel="0" collapsed="false">
      <c r="A9" s="2"/>
      <c r="B9" s="77" t="s">
        <v>45</v>
      </c>
      <c r="C9" s="78" t="s">
        <v>46</v>
      </c>
      <c r="D9" s="2"/>
      <c r="E9" s="2"/>
      <c r="F9" s="2"/>
    </row>
    <row r="10" customFormat="false" ht="24" hidden="false" customHeight="true" outlineLevel="0" collapsed="false">
      <c r="A10" s="2"/>
      <c r="B10" s="79" t="s">
        <v>47</v>
      </c>
      <c r="C10" s="80" t="s">
        <v>48</v>
      </c>
      <c r="D10" s="2"/>
      <c r="E10" s="2"/>
      <c r="F10" s="2"/>
    </row>
    <row r="11" customFormat="false" ht="27.75" hidden="false" customHeight="true" outlineLevel="0" collapsed="false">
      <c r="A11" s="2"/>
      <c r="B11" s="76" t="s">
        <v>49</v>
      </c>
      <c r="C11" s="76"/>
      <c r="D11" s="2"/>
      <c r="E11" s="2"/>
      <c r="F11" s="2"/>
    </row>
    <row r="12" customFormat="false" ht="24" hidden="false" customHeight="true" outlineLevel="0" collapsed="false">
      <c r="A12" s="2"/>
      <c r="B12" s="79" t="s">
        <v>50</v>
      </c>
      <c r="C12" s="80" t="s">
        <v>51</v>
      </c>
      <c r="D12" s="2"/>
      <c r="E12" s="2"/>
      <c r="F12" s="2"/>
    </row>
    <row r="13" customFormat="false" ht="24" hidden="false" customHeight="true" outlineLevel="0" collapsed="false">
      <c r="A13" s="2"/>
      <c r="B13" s="77" t="s">
        <v>52</v>
      </c>
      <c r="C13" s="78" t="s">
        <v>53</v>
      </c>
      <c r="D13" s="2"/>
      <c r="E13" s="2"/>
      <c r="F13" s="2"/>
    </row>
    <row r="14" customFormat="false" ht="24" hidden="false" customHeight="true" outlineLevel="0" collapsed="false">
      <c r="A14" s="2"/>
      <c r="B14" s="79" t="s">
        <v>54</v>
      </c>
      <c r="C14" s="80" t="s">
        <v>55</v>
      </c>
      <c r="D14" s="2"/>
      <c r="E14" s="2"/>
      <c r="F14" s="2"/>
    </row>
    <row r="15" customFormat="false" ht="24" hidden="false" customHeight="true" outlineLevel="0" collapsed="false">
      <c r="A15" s="2"/>
      <c r="B15" s="77" t="s">
        <v>56</v>
      </c>
      <c r="C15" s="78" t="s">
        <v>57</v>
      </c>
      <c r="D15" s="2"/>
      <c r="E15" s="2"/>
      <c r="F15" s="2"/>
    </row>
    <row r="16" customFormat="false" ht="24" hidden="false" customHeight="true" outlineLevel="0" collapsed="false">
      <c r="A16" s="2"/>
      <c r="B16" s="79" t="s">
        <v>58</v>
      </c>
      <c r="C16" s="80" t="s">
        <v>59</v>
      </c>
      <c r="D16" s="2"/>
      <c r="E16" s="2"/>
      <c r="F16" s="2"/>
    </row>
    <row r="17" customFormat="false" ht="24" hidden="false" customHeight="true" outlineLevel="0" collapsed="false">
      <c r="A17" s="2"/>
      <c r="B17" s="77" t="s">
        <v>60</v>
      </c>
      <c r="C17" s="78" t="s">
        <v>61</v>
      </c>
      <c r="D17" s="2"/>
      <c r="E17" s="2"/>
      <c r="F17" s="2"/>
    </row>
    <row r="18" customFormat="false" ht="24" hidden="false" customHeight="true" outlineLevel="0" collapsed="false">
      <c r="A18" s="2"/>
      <c r="B18" s="79" t="s">
        <v>62</v>
      </c>
      <c r="C18" s="80" t="s">
        <v>63</v>
      </c>
      <c r="D18" s="2"/>
      <c r="E18" s="2"/>
      <c r="F18" s="2"/>
    </row>
    <row r="19" customFormat="false" ht="24" hidden="false" customHeight="true" outlineLevel="0" collapsed="false">
      <c r="A19" s="2"/>
      <c r="B19" s="77" t="s">
        <v>64</v>
      </c>
      <c r="C19" s="78" t="s">
        <v>65</v>
      </c>
      <c r="D19" s="2"/>
      <c r="E19" s="2"/>
      <c r="F19" s="2"/>
    </row>
    <row r="20" customFormat="false" ht="24" hidden="false" customHeight="true" outlineLevel="0" collapsed="false">
      <c r="A20" s="2"/>
      <c r="B20" s="79" t="s">
        <v>66</v>
      </c>
      <c r="C20" s="80" t="s">
        <v>67</v>
      </c>
      <c r="D20" s="2"/>
      <c r="E20" s="2"/>
      <c r="F20" s="2"/>
    </row>
    <row r="21" customFormat="false" ht="27.75" hidden="false" customHeight="true" outlineLevel="0" collapsed="false">
      <c r="A21" s="2"/>
      <c r="B21" s="76" t="s">
        <v>68</v>
      </c>
      <c r="C21" s="76"/>
      <c r="D21" s="2"/>
      <c r="E21" s="2"/>
      <c r="F21" s="2"/>
    </row>
    <row r="22" customFormat="false" ht="24" hidden="false" customHeight="true" outlineLevel="0" collapsed="false">
      <c r="A22" s="2"/>
      <c r="B22" s="79" t="s">
        <v>69</v>
      </c>
      <c r="C22" s="80" t="s">
        <v>70</v>
      </c>
      <c r="D22" s="2"/>
      <c r="E22" s="2"/>
      <c r="F22" s="2"/>
    </row>
    <row r="23" customFormat="false" ht="27.75" hidden="false" customHeight="true" outlineLevel="0" collapsed="false">
      <c r="A23" s="2"/>
      <c r="B23" s="76" t="s">
        <v>71</v>
      </c>
      <c r="C23" s="76"/>
      <c r="D23" s="2"/>
      <c r="E23" s="2"/>
      <c r="F23" s="2"/>
    </row>
    <row r="24" customFormat="false" ht="24" hidden="false" customHeight="true" outlineLevel="0" collapsed="false">
      <c r="A24" s="2"/>
      <c r="B24" s="79" t="s">
        <v>72</v>
      </c>
      <c r="C24" s="80" t="s">
        <v>73</v>
      </c>
      <c r="D24" s="2"/>
      <c r="E24" s="2"/>
      <c r="F24" s="2"/>
    </row>
    <row r="25" customFormat="false" ht="24" hidden="false" customHeight="true" outlineLevel="0" collapsed="false">
      <c r="A25" s="2"/>
      <c r="B25" s="77" t="s">
        <v>74</v>
      </c>
      <c r="C25" s="78" t="s">
        <v>75</v>
      </c>
      <c r="D25" s="2"/>
      <c r="E25" s="2"/>
      <c r="F25" s="2"/>
    </row>
    <row r="26" customFormat="false" ht="24" hidden="false" customHeight="true" outlineLevel="0" collapsed="false">
      <c r="A26" s="2"/>
      <c r="B26" s="79" t="s">
        <v>76</v>
      </c>
      <c r="C26" s="80" t="s">
        <v>77</v>
      </c>
      <c r="D26" s="2"/>
      <c r="E26" s="2"/>
      <c r="F26" s="2"/>
    </row>
    <row r="27" customFormat="false" ht="24" hidden="false" customHeight="true" outlineLevel="0" collapsed="false">
      <c r="A27" s="2"/>
      <c r="B27" s="77" t="s">
        <v>78</v>
      </c>
      <c r="C27" s="78" t="s">
        <v>79</v>
      </c>
      <c r="D27" s="2"/>
      <c r="E27" s="2"/>
      <c r="F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</row>
    <row r="60" customFormat="false" ht="15" hidden="false" customHeight="true" outlineLevel="0" collapsed="false">
      <c r="A60" s="2"/>
      <c r="B60" s="2"/>
      <c r="C60" s="2"/>
      <c r="D60" s="2"/>
      <c r="E60" s="2"/>
      <c r="F60" s="2"/>
    </row>
    <row r="61" customFormat="false" ht="15" hidden="false" customHeight="true" outlineLevel="0" collapsed="false">
      <c r="A61" s="2"/>
      <c r="B61" s="2"/>
      <c r="C61" s="2"/>
      <c r="D61" s="2"/>
      <c r="E61" s="2"/>
      <c r="F61" s="2"/>
    </row>
    <row r="62" customFormat="false" ht="15" hidden="false" customHeight="true" outlineLevel="0" collapsed="false">
      <c r="A62" s="2"/>
      <c r="B62" s="2"/>
      <c r="C62" s="2"/>
      <c r="D62" s="2"/>
      <c r="E62" s="2"/>
      <c r="F62" s="2"/>
    </row>
    <row r="63" customFormat="false" ht="15" hidden="false" customHeight="true" outlineLevel="0" collapsed="false">
      <c r="A63" s="2"/>
      <c r="B63" s="2"/>
      <c r="C63" s="2"/>
      <c r="D63" s="2"/>
      <c r="E63" s="2"/>
      <c r="F63" s="2"/>
    </row>
    <row r="64" customFormat="false" ht="15" hidden="false" customHeight="true" outlineLevel="0" collapsed="false">
      <c r="A64" s="2"/>
      <c r="B64" s="2"/>
      <c r="C64" s="2"/>
      <c r="D64" s="2"/>
      <c r="E64" s="2"/>
      <c r="F64" s="2"/>
    </row>
    <row r="65" customFormat="false" ht="15" hidden="false" customHeight="true" outlineLevel="0" collapsed="false">
      <c r="A65" s="2"/>
      <c r="B65" s="2"/>
      <c r="C65" s="2"/>
      <c r="D65" s="2"/>
      <c r="E65" s="2"/>
      <c r="F65" s="2"/>
    </row>
    <row r="66" customFormat="false" ht="15" hidden="false" customHeight="true" outlineLevel="0" collapsed="false">
      <c r="A66" s="2"/>
      <c r="B66" s="2"/>
      <c r="C66" s="2"/>
      <c r="D66" s="2"/>
      <c r="E66" s="2"/>
      <c r="F66" s="2"/>
    </row>
    <row r="67" customFormat="false" ht="15" hidden="false" customHeight="true" outlineLevel="0" collapsed="false">
      <c r="A67" s="2"/>
      <c r="B67" s="2"/>
      <c r="C67" s="2"/>
      <c r="D67" s="2"/>
      <c r="E67" s="2"/>
      <c r="F67" s="2"/>
    </row>
    <row r="68" customFormat="false" ht="15" hidden="false" customHeight="true" outlineLevel="0" collapsed="false">
      <c r="A68" s="2"/>
      <c r="B68" s="2"/>
      <c r="C68" s="2"/>
      <c r="D68" s="2"/>
      <c r="E68" s="2"/>
      <c r="F68" s="2"/>
    </row>
    <row r="69" customFormat="false" ht="15" hidden="false" customHeight="true" outlineLevel="0" collapsed="false">
      <c r="A69" s="2"/>
      <c r="B69" s="2"/>
      <c r="C69" s="2"/>
      <c r="D69" s="2"/>
      <c r="E69" s="2"/>
      <c r="F69" s="2"/>
    </row>
    <row r="70" customFormat="false" ht="15" hidden="false" customHeight="true" outlineLevel="0" collapsed="false">
      <c r="A70" s="2"/>
      <c r="B70" s="2"/>
      <c r="C70" s="2"/>
      <c r="D70" s="2"/>
      <c r="E70" s="2"/>
      <c r="F70" s="2"/>
    </row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6">
    <mergeCell ref="B2:C2"/>
    <mergeCell ref="B4:C4"/>
    <mergeCell ref="B6:C6"/>
    <mergeCell ref="B11:C11"/>
    <mergeCell ref="B21:C21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P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4" min="3" style="1" width="20"/>
    <col collapsed="false" customWidth="true" hidden="false" outlineLevel="0" max="5" min="5" style="1" width="18"/>
    <col collapsed="false" customWidth="true" hidden="false" outlineLevel="0" max="7" min="6" style="1" width="20"/>
    <col collapsed="false" customWidth="true" hidden="false" outlineLevel="0" max="10" min="8" style="1" width="22"/>
    <col collapsed="false" customWidth="true" hidden="false" outlineLevel="0" max="11" min="11" style="1" width="24"/>
    <col collapsed="false" customWidth="true" hidden="false" outlineLevel="0" max="12" min="12" style="1" width="3"/>
    <col collapsed="false" customWidth="true" hidden="false" outlineLevel="0" max="26" min="13" style="1" width="8.71"/>
  </cols>
  <sheetData>
    <row r="1" customFormat="false" ht="6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48" hidden="false" customHeight="true" outlineLevel="0" collapsed="false">
      <c r="A2" s="2"/>
      <c r="B2" s="81" t="s">
        <v>80</v>
      </c>
      <c r="C2" s="81"/>
      <c r="D2" s="81"/>
      <c r="E2" s="81"/>
      <c r="F2" s="81"/>
      <c r="G2" s="81"/>
      <c r="H2" s="81"/>
      <c r="I2" s="81"/>
      <c r="J2" s="81"/>
      <c r="K2" s="81"/>
      <c r="L2" s="2"/>
      <c r="M2" s="2"/>
      <c r="N2" s="2"/>
      <c r="O2" s="2"/>
      <c r="P2" s="2"/>
    </row>
    <row r="3" customFormat="false" ht="13.5" hidden="false" customHeight="true" outlineLevel="0" collapsed="false">
      <c r="A3" s="2"/>
      <c r="B3" s="7" t="s">
        <v>81</v>
      </c>
      <c r="C3" s="7"/>
      <c r="D3" s="7"/>
      <c r="E3" s="7"/>
      <c r="F3" s="7"/>
      <c r="G3" s="7"/>
      <c r="H3" s="7"/>
      <c r="I3" s="7"/>
      <c r="J3" s="7"/>
      <c r="K3" s="7"/>
      <c r="L3" s="2"/>
      <c r="M3" s="2"/>
      <c r="N3" s="2"/>
      <c r="O3" s="2"/>
      <c r="P3" s="2"/>
    </row>
    <row r="4" customFormat="false" ht="27.75" hidden="false" customHeight="true" outlineLevel="0" collapsed="false">
      <c r="A4" s="2"/>
      <c r="B4" s="82" t="s">
        <v>82</v>
      </c>
      <c r="C4" s="82"/>
      <c r="D4" s="82" t="s">
        <v>83</v>
      </c>
      <c r="E4" s="82"/>
      <c r="F4" s="82" t="s">
        <v>84</v>
      </c>
      <c r="G4" s="82"/>
      <c r="H4" s="82" t="s">
        <v>85</v>
      </c>
      <c r="I4" s="82"/>
      <c r="J4" s="82" t="s">
        <v>86</v>
      </c>
      <c r="K4" s="82"/>
      <c r="L4" s="2"/>
      <c r="M4" s="2"/>
      <c r="N4" s="2"/>
      <c r="O4" s="2"/>
      <c r="P4" s="2"/>
    </row>
    <row r="5" customFormat="false" ht="36" hidden="false" customHeight="true" outlineLevel="0" collapsed="false">
      <c r="A5" s="2"/>
      <c r="B5" s="83" t="n">
        <f aca="false">IFERROR(SUM(D8:D107),0)</f>
        <v>0</v>
      </c>
      <c r="C5" s="83"/>
      <c r="D5" s="84" t="n">
        <f aca="false">IFERROR(SUM(F8:F107),0)</f>
        <v>0</v>
      </c>
      <c r="E5" s="84"/>
      <c r="F5" s="85" t="n">
        <f aca="false">IFERROR(SUM(J8:J107),0)</f>
        <v>0</v>
      </c>
      <c r="G5" s="85"/>
      <c r="H5" s="86" t="n">
        <f aca="false">IFERROR(AVERAGE(K8:K107),0)</f>
        <v>0</v>
      </c>
      <c r="I5" s="86"/>
      <c r="J5" s="87" t="n">
        <f aca="false">IFERROR(SUM('TABLERO DCA'!G8:G107)-SUM(D8:D107),0)</f>
        <v>0.0673165368968881</v>
      </c>
      <c r="K5" s="87"/>
      <c r="L5" s="2"/>
      <c r="M5" s="2"/>
      <c r="N5" s="2"/>
      <c r="O5" s="2"/>
      <c r="P5" s="2"/>
    </row>
    <row r="6" customFormat="false" ht="21.75" hidden="false" customHeight="true" outlineLevel="0" collapsed="false">
      <c r="A6" s="2"/>
      <c r="B6" s="17" t="s">
        <v>87</v>
      </c>
      <c r="C6" s="17"/>
      <c r="D6" s="17"/>
      <c r="E6" s="17"/>
      <c r="F6" s="17"/>
      <c r="G6" s="17"/>
      <c r="H6" s="17"/>
      <c r="I6" s="17"/>
      <c r="J6" s="17"/>
      <c r="K6" s="17"/>
      <c r="L6" s="2"/>
      <c r="M6" s="2"/>
      <c r="N6" s="2"/>
      <c r="O6" s="2"/>
      <c r="P6" s="2"/>
    </row>
    <row r="7" customFormat="false" ht="33.75" hidden="false" customHeight="true" outlineLevel="0" collapsed="false">
      <c r="A7" s="2"/>
      <c r="B7" s="88" t="s">
        <v>88</v>
      </c>
      <c r="C7" s="88" t="s">
        <v>89</v>
      </c>
      <c r="D7" s="88" t="s">
        <v>90</v>
      </c>
      <c r="E7" s="88" t="s">
        <v>91</v>
      </c>
      <c r="F7" s="88" t="s">
        <v>92</v>
      </c>
      <c r="G7" s="88" t="s">
        <v>93</v>
      </c>
      <c r="H7" s="88" t="s">
        <v>94</v>
      </c>
      <c r="I7" s="88" t="s">
        <v>95</v>
      </c>
      <c r="J7" s="88" t="s">
        <v>96</v>
      </c>
      <c r="K7" s="88" t="s">
        <v>97</v>
      </c>
      <c r="L7" s="2"/>
      <c r="M7" s="2"/>
      <c r="N7" s="2"/>
      <c r="O7" s="2"/>
      <c r="P7" s="2"/>
    </row>
    <row r="8" customFormat="false" ht="21.75" hidden="false" customHeight="true" outlineLevel="0" collapsed="false">
      <c r="A8" s="2"/>
      <c r="B8" s="20"/>
      <c r="C8" s="89"/>
      <c r="D8" s="28"/>
      <c r="E8" s="24"/>
      <c r="F8" s="90"/>
      <c r="G8" s="26"/>
      <c r="H8" s="91" t="str">
        <f aca="false" t="array" ref="H8:H8">IFERROR(IF(D8="","",INDEX('TABLERO DCA'!$K$8:$K$107,MATCH(9.99E+307,'TABLERO DCA'!$K$8:$K$107,1))),"")</f>
        <v/>
      </c>
      <c r="I8" s="27" t="str">
        <f aca="false">IFERROR(IF(D8="","",(E8-H8)*D8),"")</f>
        <v/>
      </c>
      <c r="J8" s="90" t="str">
        <f aca="false">IFERROR(IF(I8="","",I8-G8),"")</f>
        <v/>
      </c>
      <c r="K8" s="92" t="str">
        <f aca="false">IFERROR(IF(J8="","",J8/(H8*D8)),"")</f>
        <v/>
      </c>
      <c r="L8" s="2"/>
      <c r="M8" s="2"/>
      <c r="N8" s="2"/>
      <c r="O8" s="2"/>
      <c r="P8" s="2"/>
    </row>
    <row r="9" customFormat="false" ht="21.75" hidden="false" customHeight="true" outlineLevel="0" collapsed="false">
      <c r="A9" s="2"/>
      <c r="B9" s="38"/>
      <c r="C9" s="93"/>
      <c r="D9" s="35"/>
      <c r="E9" s="32"/>
      <c r="F9" s="94" t="str">
        <f aca="false">IFERROR(IF(D9="","",D9*E9-G9),"")</f>
        <v/>
      </c>
      <c r="G9" s="37"/>
      <c r="H9" s="91" t="str">
        <f aca="false" t="array" ref="H9:H9">IFERROR(IF(D9="","",INDEX('TABLERO DCA'!$K$8:$K$107,MATCH(9.99E+307,'TABLERO DCA'!$K$8:$K$107,1))),"")</f>
        <v/>
      </c>
      <c r="I9" s="34" t="str">
        <f aca="false">IFERROR(IF(D9="","",(E9-H9)*D9),"")</f>
        <v/>
      </c>
      <c r="J9" s="94" t="str">
        <f aca="false">IFERROR(IF(I9="","",I9-G9),"")</f>
        <v/>
      </c>
      <c r="K9" s="95" t="str">
        <f aca="false">IFERROR(IF(J9="","",J9/(H9*D9)),"")</f>
        <v/>
      </c>
      <c r="L9" s="2"/>
      <c r="M9" s="2"/>
      <c r="N9" s="2"/>
      <c r="O9" s="2"/>
      <c r="P9" s="2"/>
    </row>
    <row r="10" customFormat="false" ht="21.75" hidden="false" customHeight="true" outlineLevel="0" collapsed="false">
      <c r="A10" s="2"/>
      <c r="B10" s="20"/>
      <c r="C10" s="89"/>
      <c r="D10" s="28"/>
      <c r="E10" s="24"/>
      <c r="F10" s="90" t="str">
        <f aca="false">IFERROR(IF(D10="","",D10*E10-G10),"")</f>
        <v/>
      </c>
      <c r="G10" s="26"/>
      <c r="H10" s="91" t="str">
        <f aca="false" t="array" ref="H10:H10">IFERROR(IF(D10="","",INDEX('TABLERO DCA'!$K$8:$K$107,MATCH(9.99E+307,'TABLERO DCA'!$K$8:$K$107,1))),"")</f>
        <v/>
      </c>
      <c r="I10" s="27" t="str">
        <f aca="false">IFERROR(IF(D10="","",(E10-H10)*D10),"")</f>
        <v/>
      </c>
      <c r="J10" s="90" t="str">
        <f aca="false">IFERROR(IF(I10="","",I10-G10),"")</f>
        <v/>
      </c>
      <c r="K10" s="92" t="str">
        <f aca="false">IFERROR(IF(J10="","",J10/(H10*D10)),"")</f>
        <v/>
      </c>
      <c r="L10" s="2"/>
      <c r="M10" s="2"/>
      <c r="N10" s="2"/>
      <c r="O10" s="2"/>
      <c r="P10" s="2"/>
    </row>
    <row r="11" customFormat="false" ht="21.75" hidden="false" customHeight="true" outlineLevel="0" collapsed="false">
      <c r="A11" s="2"/>
      <c r="B11" s="38"/>
      <c r="C11" s="93"/>
      <c r="D11" s="35"/>
      <c r="E11" s="32"/>
      <c r="F11" s="94" t="str">
        <f aca="false">IFERROR(IF(D11="","",D11*E11-G11),"")</f>
        <v/>
      </c>
      <c r="G11" s="37"/>
      <c r="H11" s="91" t="str">
        <f aca="false" t="array" ref="H11:H11">IFERROR(IF(D11="","",INDEX('TABLERO DCA'!$K$8:$K$107,MATCH(9.99E+307,'TABLERO DCA'!$K$8:$K$107,1))),"")</f>
        <v/>
      </c>
      <c r="I11" s="34" t="str">
        <f aca="false">IFERROR(IF(D11="","",(E11-H11)*D11),"")</f>
        <v/>
      </c>
      <c r="J11" s="94" t="str">
        <f aca="false">IFERROR(IF(I11="","",I11-G11),"")</f>
        <v/>
      </c>
      <c r="K11" s="95" t="str">
        <f aca="false">IFERROR(IF(J11="","",J11/(H11*D11)),"")</f>
        <v/>
      </c>
      <c r="L11" s="2"/>
      <c r="M11" s="2"/>
      <c r="N11" s="2"/>
      <c r="O11" s="2"/>
      <c r="P11" s="2"/>
    </row>
    <row r="12" customFormat="false" ht="21.75" hidden="false" customHeight="true" outlineLevel="0" collapsed="false">
      <c r="A12" s="2"/>
      <c r="B12" s="20"/>
      <c r="C12" s="89"/>
      <c r="D12" s="28"/>
      <c r="E12" s="24"/>
      <c r="F12" s="90" t="str">
        <f aca="false">IFERROR(IF(D12="","",D12*E12-G12),"")</f>
        <v/>
      </c>
      <c r="G12" s="26"/>
      <c r="H12" s="91" t="str">
        <f aca="false" t="array" ref="H12:H12">IFERROR(IF(D12="","",INDEX('TABLERO DCA'!$K$8:$K$107,MATCH(9.99E+307,'TABLERO DCA'!$K$8:$K$107,1))),"")</f>
        <v/>
      </c>
      <c r="I12" s="27" t="str">
        <f aca="false">IFERROR(IF(D12="","",(E12-H12)*D12),"")</f>
        <v/>
      </c>
      <c r="J12" s="90" t="str">
        <f aca="false">IFERROR(IF(I12="","",I12-G12),"")</f>
        <v/>
      </c>
      <c r="K12" s="92" t="str">
        <f aca="false">IFERROR(IF(J12="","",J12/(H12*D12)),"")</f>
        <v/>
      </c>
      <c r="L12" s="2"/>
      <c r="M12" s="2"/>
      <c r="N12" s="2"/>
      <c r="O12" s="2"/>
      <c r="P12" s="2"/>
    </row>
    <row r="13" customFormat="false" ht="21.75" hidden="false" customHeight="true" outlineLevel="0" collapsed="false">
      <c r="A13" s="2"/>
      <c r="B13" s="38"/>
      <c r="C13" s="93"/>
      <c r="D13" s="35"/>
      <c r="E13" s="32"/>
      <c r="F13" s="94" t="str">
        <f aca="false">IFERROR(IF(D13="","",D13*E13-G13),"")</f>
        <v/>
      </c>
      <c r="G13" s="37"/>
      <c r="H13" s="91" t="str">
        <f aca="false" t="array" ref="H13:H13">IFERROR(IF(D13="","",INDEX('TABLERO DCA'!$K$8:$K$107,MATCH(9.99E+307,'TABLERO DCA'!$K$8:$K$107,1))),"")</f>
        <v/>
      </c>
      <c r="I13" s="34" t="str">
        <f aca="false">IFERROR(IF(D13="","",(E13-H13)*D13),"")</f>
        <v/>
      </c>
      <c r="J13" s="94" t="str">
        <f aca="false">IFERROR(IF(I13="","",I13-G13),"")</f>
        <v/>
      </c>
      <c r="K13" s="95" t="str">
        <f aca="false">IFERROR(IF(J13="","",J13/(H13*D13)),"")</f>
        <v/>
      </c>
      <c r="L13" s="2"/>
      <c r="M13" s="2"/>
      <c r="N13" s="2"/>
      <c r="O13" s="2"/>
      <c r="P13" s="2"/>
    </row>
    <row r="14" customFormat="false" ht="21.75" hidden="false" customHeight="true" outlineLevel="0" collapsed="false">
      <c r="A14" s="2"/>
      <c r="B14" s="20"/>
      <c r="C14" s="89"/>
      <c r="D14" s="28"/>
      <c r="E14" s="24"/>
      <c r="F14" s="90" t="str">
        <f aca="false">IFERROR(IF(D14="","",D14*E14-G14),"")</f>
        <v/>
      </c>
      <c r="G14" s="26"/>
      <c r="H14" s="91" t="str">
        <f aca="false" t="array" ref="H14:H14">IFERROR(IF(D14="","",INDEX('TABLERO DCA'!$K$8:$K$107,MATCH(9.99E+307,'TABLERO DCA'!$K$8:$K$107,1))),"")</f>
        <v/>
      </c>
      <c r="I14" s="27" t="str">
        <f aca="false">IFERROR(IF(D14="","",(E14-H14)*D14),"")</f>
        <v/>
      </c>
      <c r="J14" s="90" t="str">
        <f aca="false">IFERROR(IF(I14="","",I14-G14),"")</f>
        <v/>
      </c>
      <c r="K14" s="92" t="str">
        <f aca="false">IFERROR(IF(J14="","",J14/(H14*D14)),"")</f>
        <v/>
      </c>
      <c r="L14" s="2"/>
      <c r="M14" s="2"/>
      <c r="N14" s="2"/>
      <c r="O14" s="2"/>
      <c r="P14" s="2"/>
    </row>
    <row r="15" customFormat="false" ht="21.75" hidden="false" customHeight="true" outlineLevel="0" collapsed="false">
      <c r="A15" s="2"/>
      <c r="B15" s="38"/>
      <c r="C15" s="93"/>
      <c r="D15" s="35"/>
      <c r="E15" s="32"/>
      <c r="F15" s="94" t="str">
        <f aca="false">IFERROR(IF(D15="","",D15*E15-G15),"")</f>
        <v/>
      </c>
      <c r="G15" s="37"/>
      <c r="H15" s="91" t="str">
        <f aca="false" t="array" ref="H15:H15">IFERROR(IF(D15="","",INDEX('TABLERO DCA'!$K$8:$K$107,MATCH(9.99E+307,'TABLERO DCA'!$K$8:$K$107,1))),"")</f>
        <v/>
      </c>
      <c r="I15" s="34" t="str">
        <f aca="false">IFERROR(IF(D15="","",(E15-H15)*D15),"")</f>
        <v/>
      </c>
      <c r="J15" s="94" t="str">
        <f aca="false">IFERROR(IF(I15="","",I15-G15),"")</f>
        <v/>
      </c>
      <c r="K15" s="95" t="str">
        <f aca="false">IFERROR(IF(J15="","",J15/(H15*D15)),"")</f>
        <v/>
      </c>
      <c r="L15" s="2"/>
      <c r="M15" s="2"/>
      <c r="N15" s="2"/>
      <c r="O15" s="2"/>
      <c r="P15" s="2"/>
    </row>
    <row r="16" customFormat="false" ht="21.75" hidden="false" customHeight="true" outlineLevel="0" collapsed="false">
      <c r="A16" s="2"/>
      <c r="B16" s="20"/>
      <c r="C16" s="89"/>
      <c r="D16" s="28"/>
      <c r="E16" s="24"/>
      <c r="F16" s="90" t="str">
        <f aca="false">IFERROR(IF(D16="","",D16*E16-G16),"")</f>
        <v/>
      </c>
      <c r="G16" s="26"/>
      <c r="H16" s="91" t="str">
        <f aca="false" t="array" ref="H16:H16">IFERROR(IF(D16="","",INDEX('TABLERO DCA'!$K$8:$K$107,MATCH(9.99E+307,'TABLERO DCA'!$K$8:$K$107,1))),"")</f>
        <v/>
      </c>
      <c r="I16" s="27" t="str">
        <f aca="false">IFERROR(IF(D16="","",(E16-H16)*D16),"")</f>
        <v/>
      </c>
      <c r="J16" s="90" t="str">
        <f aca="false">IFERROR(IF(I16="","",I16-G16),"")</f>
        <v/>
      </c>
      <c r="K16" s="92" t="str">
        <f aca="false">IFERROR(IF(J16="","",J16/(H16*D16)),"")</f>
        <v/>
      </c>
      <c r="L16" s="2"/>
      <c r="M16" s="2"/>
      <c r="N16" s="2"/>
      <c r="O16" s="2"/>
      <c r="P16" s="2"/>
    </row>
    <row r="17" customFormat="false" ht="21.75" hidden="false" customHeight="true" outlineLevel="0" collapsed="false">
      <c r="A17" s="2"/>
      <c r="B17" s="38"/>
      <c r="C17" s="93"/>
      <c r="D17" s="35"/>
      <c r="E17" s="32"/>
      <c r="F17" s="94" t="str">
        <f aca="false">IFERROR(IF(D17="","",D17*E17-G17),"")</f>
        <v/>
      </c>
      <c r="G17" s="37"/>
      <c r="H17" s="91" t="str">
        <f aca="false" t="array" ref="H17:H17">IFERROR(IF(D17="","",INDEX('TABLERO DCA'!$K$8:$K$107,MATCH(9.99E+307,'TABLERO DCA'!$K$8:$K$107,1))),"")</f>
        <v/>
      </c>
      <c r="I17" s="34" t="str">
        <f aca="false">IFERROR(IF(D17="","",(E17-H17)*D17),"")</f>
        <v/>
      </c>
      <c r="J17" s="94" t="str">
        <f aca="false">IFERROR(IF(I17="","",I17-G17),"")</f>
        <v/>
      </c>
      <c r="K17" s="95" t="str">
        <f aca="false">IFERROR(IF(J17="","",J17/(H17*D17)),"")</f>
        <v/>
      </c>
      <c r="L17" s="2"/>
      <c r="M17" s="2"/>
      <c r="N17" s="2"/>
      <c r="O17" s="2"/>
      <c r="P17" s="2"/>
    </row>
    <row r="18" customFormat="false" ht="21.75" hidden="false" customHeight="true" outlineLevel="0" collapsed="false">
      <c r="A18" s="2"/>
      <c r="B18" s="20"/>
      <c r="C18" s="89"/>
      <c r="D18" s="28"/>
      <c r="E18" s="24"/>
      <c r="F18" s="90" t="str">
        <f aca="false">IFERROR(IF(D18="","",D18*E18-G18),"")</f>
        <v/>
      </c>
      <c r="G18" s="26"/>
      <c r="H18" s="91" t="str">
        <f aca="false" t="array" ref="H18:H18">IFERROR(IF(D18="","",INDEX('TABLERO DCA'!$K$8:$K$107,MATCH(9.99E+307,'TABLERO DCA'!$K$8:$K$107,1))),"")</f>
        <v/>
      </c>
      <c r="I18" s="27" t="str">
        <f aca="false">IFERROR(IF(D18="","",(E18-H18)*D18),"")</f>
        <v/>
      </c>
      <c r="J18" s="90" t="str">
        <f aca="false">IFERROR(IF(I18="","",I18-G18),"")</f>
        <v/>
      </c>
      <c r="K18" s="92" t="str">
        <f aca="false">IFERROR(IF(J18="","",J18/(H18*D18)),"")</f>
        <v/>
      </c>
      <c r="L18" s="2"/>
      <c r="M18" s="2"/>
      <c r="N18" s="2"/>
      <c r="O18" s="2"/>
      <c r="P18" s="2"/>
    </row>
    <row r="19" customFormat="false" ht="21.75" hidden="false" customHeight="true" outlineLevel="0" collapsed="false">
      <c r="A19" s="2"/>
      <c r="B19" s="38"/>
      <c r="C19" s="93"/>
      <c r="D19" s="35"/>
      <c r="E19" s="32"/>
      <c r="F19" s="94" t="str">
        <f aca="false">IFERROR(IF(D19="","",D19*E19-G19),"")</f>
        <v/>
      </c>
      <c r="G19" s="37"/>
      <c r="H19" s="91" t="str">
        <f aca="false" t="array" ref="H19:H19">IFERROR(IF(D19="","",INDEX('TABLERO DCA'!$K$8:$K$107,MATCH(9.99E+307,'TABLERO DCA'!$K$8:$K$107,1))),"")</f>
        <v/>
      </c>
      <c r="I19" s="34" t="str">
        <f aca="false">IFERROR(IF(D19="","",(E19-H19)*D19),"")</f>
        <v/>
      </c>
      <c r="J19" s="94" t="str">
        <f aca="false">IFERROR(IF(I19="","",I19-G19),"")</f>
        <v/>
      </c>
      <c r="K19" s="95" t="str">
        <f aca="false">IFERROR(IF(J19="","",J19/(H19*D19)),"")</f>
        <v/>
      </c>
      <c r="L19" s="2"/>
      <c r="M19" s="2"/>
      <c r="N19" s="2"/>
      <c r="O19" s="2"/>
      <c r="P19" s="2"/>
    </row>
    <row r="20" customFormat="false" ht="21.75" hidden="false" customHeight="true" outlineLevel="0" collapsed="false">
      <c r="A20" s="2"/>
      <c r="B20" s="20"/>
      <c r="C20" s="89"/>
      <c r="D20" s="28"/>
      <c r="E20" s="24"/>
      <c r="F20" s="90" t="str">
        <f aca="false">IFERROR(IF(D20="","",D20*E20-G20),"")</f>
        <v/>
      </c>
      <c r="G20" s="26"/>
      <c r="H20" s="91" t="str">
        <f aca="false" t="array" ref="H20:H20">IFERROR(IF(D20="","",INDEX('TABLERO DCA'!$K$8:$K$107,MATCH(9.99E+307,'TABLERO DCA'!$K$8:$K$107,1))),"")</f>
        <v/>
      </c>
      <c r="I20" s="27" t="str">
        <f aca="false">IFERROR(IF(D20="","",(E20-H20)*D20),"")</f>
        <v/>
      </c>
      <c r="J20" s="90" t="str">
        <f aca="false">IFERROR(IF(I20="","",I20-G20),"")</f>
        <v/>
      </c>
      <c r="K20" s="92" t="str">
        <f aca="false">IFERROR(IF(J20="","",J20/(H20*D20)),"")</f>
        <v/>
      </c>
      <c r="L20" s="2"/>
      <c r="M20" s="2"/>
      <c r="N20" s="2"/>
      <c r="O20" s="2"/>
      <c r="P20" s="2"/>
    </row>
    <row r="21" customFormat="false" ht="21.75" hidden="false" customHeight="true" outlineLevel="0" collapsed="false">
      <c r="A21" s="2"/>
      <c r="B21" s="38"/>
      <c r="C21" s="93"/>
      <c r="D21" s="35"/>
      <c r="E21" s="32"/>
      <c r="F21" s="94" t="str">
        <f aca="false">IFERROR(IF(D21="","",D21*E21-G21),"")</f>
        <v/>
      </c>
      <c r="G21" s="37"/>
      <c r="H21" s="91" t="str">
        <f aca="false" t="array" ref="H21:H21">IFERROR(IF(D21="","",INDEX('TABLERO DCA'!$K$8:$K$107,MATCH(9.99E+307,'TABLERO DCA'!$K$8:$K$107,1))),"")</f>
        <v/>
      </c>
      <c r="I21" s="34" t="str">
        <f aca="false">IFERROR(IF(D21="","",(E21-H21)*D21),"")</f>
        <v/>
      </c>
      <c r="J21" s="94" t="str">
        <f aca="false">IFERROR(IF(I21="","",I21-G21),"")</f>
        <v/>
      </c>
      <c r="K21" s="95" t="str">
        <f aca="false">IFERROR(IF(J21="","",J21/(H21*D21)),"")</f>
        <v/>
      </c>
      <c r="L21" s="2"/>
      <c r="M21" s="2"/>
      <c r="N21" s="2"/>
      <c r="O21" s="2"/>
      <c r="P21" s="2"/>
    </row>
    <row r="22" customFormat="false" ht="21.75" hidden="false" customHeight="true" outlineLevel="0" collapsed="false">
      <c r="A22" s="2"/>
      <c r="B22" s="20"/>
      <c r="C22" s="89"/>
      <c r="D22" s="28"/>
      <c r="E22" s="24"/>
      <c r="F22" s="90" t="str">
        <f aca="false">IFERROR(IF(D22="","",D22*E22-G22),"")</f>
        <v/>
      </c>
      <c r="G22" s="26"/>
      <c r="H22" s="91" t="str">
        <f aca="false" t="array" ref="H22:H22">IFERROR(IF(D22="","",INDEX('TABLERO DCA'!$K$8:$K$107,MATCH(9.99E+307,'TABLERO DCA'!$K$8:$K$107,1))),"")</f>
        <v/>
      </c>
      <c r="I22" s="27" t="str">
        <f aca="false">IFERROR(IF(D22="","",(E22-H22)*D22),"")</f>
        <v/>
      </c>
      <c r="J22" s="90" t="str">
        <f aca="false">IFERROR(IF(I22="","",I22-G22),"")</f>
        <v/>
      </c>
      <c r="K22" s="92" t="str">
        <f aca="false">IFERROR(IF(J22="","",J22/(H22*D22)),"")</f>
        <v/>
      </c>
      <c r="L22" s="2"/>
      <c r="M22" s="2"/>
      <c r="N22" s="2"/>
      <c r="O22" s="2"/>
      <c r="P22" s="2"/>
    </row>
    <row r="23" customFormat="false" ht="21.75" hidden="false" customHeight="true" outlineLevel="0" collapsed="false">
      <c r="A23" s="2"/>
      <c r="B23" s="38"/>
      <c r="C23" s="93"/>
      <c r="D23" s="35"/>
      <c r="E23" s="32"/>
      <c r="F23" s="94" t="str">
        <f aca="false">IFERROR(IF(D23="","",D23*E23-G23),"")</f>
        <v/>
      </c>
      <c r="G23" s="37"/>
      <c r="H23" s="91" t="str">
        <f aca="false" t="array" ref="H23:H23">IFERROR(IF(D23="","",INDEX('TABLERO DCA'!$K$8:$K$107,MATCH(9.99E+307,'TABLERO DCA'!$K$8:$K$107,1))),"")</f>
        <v/>
      </c>
      <c r="I23" s="34" t="str">
        <f aca="false">IFERROR(IF(D23="","",(E23-H23)*D23),"")</f>
        <v/>
      </c>
      <c r="J23" s="94" t="str">
        <f aca="false">IFERROR(IF(I23="","",I23-G23),"")</f>
        <v/>
      </c>
      <c r="K23" s="95" t="str">
        <f aca="false">IFERROR(IF(J23="","",J23/(H23*D23)),"")</f>
        <v/>
      </c>
      <c r="L23" s="2"/>
      <c r="M23" s="2"/>
      <c r="N23" s="2"/>
      <c r="O23" s="2"/>
      <c r="P23" s="2"/>
    </row>
    <row r="24" customFormat="false" ht="21.75" hidden="false" customHeight="true" outlineLevel="0" collapsed="false">
      <c r="A24" s="2"/>
      <c r="B24" s="20"/>
      <c r="C24" s="89"/>
      <c r="D24" s="28"/>
      <c r="E24" s="24"/>
      <c r="F24" s="90" t="str">
        <f aca="false">IFERROR(IF(D24="","",D24*E24-G24),"")</f>
        <v/>
      </c>
      <c r="G24" s="26"/>
      <c r="H24" s="91" t="str">
        <f aca="false" t="array" ref="H24:H24">IFERROR(IF(D24="","",INDEX('TABLERO DCA'!$K$8:$K$107,MATCH(9.99E+307,'TABLERO DCA'!$K$8:$K$107,1))),"")</f>
        <v/>
      </c>
      <c r="I24" s="27" t="str">
        <f aca="false">IFERROR(IF(D24="","",(E24-H24)*D24),"")</f>
        <v/>
      </c>
      <c r="J24" s="90" t="str">
        <f aca="false">IFERROR(IF(I24="","",I24-G24),"")</f>
        <v/>
      </c>
      <c r="K24" s="92" t="str">
        <f aca="false">IFERROR(IF(J24="","",J24/(H24*D24)),"")</f>
        <v/>
      </c>
      <c r="L24" s="2"/>
      <c r="M24" s="2"/>
      <c r="N24" s="2"/>
      <c r="O24" s="2"/>
      <c r="P24" s="2"/>
    </row>
    <row r="25" customFormat="false" ht="21.75" hidden="false" customHeight="true" outlineLevel="0" collapsed="false">
      <c r="A25" s="2"/>
      <c r="B25" s="38"/>
      <c r="C25" s="93"/>
      <c r="D25" s="35"/>
      <c r="E25" s="32"/>
      <c r="F25" s="94" t="str">
        <f aca="false">IFERROR(IF(D25="","",D25*E25-G25),"")</f>
        <v/>
      </c>
      <c r="G25" s="37"/>
      <c r="H25" s="91" t="str">
        <f aca="false" t="array" ref="H25:H25">IFERROR(IF(D25="","",INDEX('TABLERO DCA'!$K$8:$K$107,MATCH(9.99E+307,'TABLERO DCA'!$K$8:$K$107,1))),"")</f>
        <v/>
      </c>
      <c r="I25" s="34" t="str">
        <f aca="false">IFERROR(IF(D25="","",(E25-H25)*D25),"")</f>
        <v/>
      </c>
      <c r="J25" s="94" t="str">
        <f aca="false">IFERROR(IF(I25="","",I25-G25),"")</f>
        <v/>
      </c>
      <c r="K25" s="95" t="str">
        <f aca="false">IFERROR(IF(J25="","",J25/(H25*D25)),"")</f>
        <v/>
      </c>
      <c r="L25" s="2"/>
      <c r="M25" s="2"/>
      <c r="N25" s="2"/>
      <c r="O25" s="2"/>
      <c r="P25" s="2"/>
    </row>
    <row r="26" customFormat="false" ht="21.75" hidden="false" customHeight="true" outlineLevel="0" collapsed="false">
      <c r="A26" s="2"/>
      <c r="B26" s="20"/>
      <c r="C26" s="89"/>
      <c r="D26" s="28"/>
      <c r="E26" s="24"/>
      <c r="F26" s="90" t="str">
        <f aca="false">IFERROR(IF(D26="","",D26*E26-G26),"")</f>
        <v/>
      </c>
      <c r="G26" s="26"/>
      <c r="H26" s="91" t="str">
        <f aca="false" t="array" ref="H26:H26">IFERROR(IF(D26="","",INDEX('TABLERO DCA'!$K$8:$K$107,MATCH(9.99E+307,'TABLERO DCA'!$K$8:$K$107,1))),"")</f>
        <v/>
      </c>
      <c r="I26" s="27" t="str">
        <f aca="false">IFERROR(IF(D26="","",(E26-H26)*D26),"")</f>
        <v/>
      </c>
      <c r="J26" s="90" t="str">
        <f aca="false">IFERROR(IF(I26="","",I26-G26),"")</f>
        <v/>
      </c>
      <c r="K26" s="92" t="str">
        <f aca="false">IFERROR(IF(J26="","",J26/(H26*D26)),"")</f>
        <v/>
      </c>
      <c r="L26" s="2"/>
      <c r="M26" s="2"/>
      <c r="N26" s="2"/>
      <c r="O26" s="2"/>
      <c r="P26" s="2"/>
    </row>
    <row r="27" customFormat="false" ht="21.75" hidden="false" customHeight="true" outlineLevel="0" collapsed="false">
      <c r="A27" s="2"/>
      <c r="B27" s="38"/>
      <c r="C27" s="93"/>
      <c r="D27" s="35"/>
      <c r="E27" s="32"/>
      <c r="F27" s="94" t="str">
        <f aca="false">IFERROR(IF(D27="","",D27*E27-G27),"")</f>
        <v/>
      </c>
      <c r="G27" s="37"/>
      <c r="H27" s="91" t="str">
        <f aca="false" t="array" ref="H27:H27">IFERROR(IF(D27="","",INDEX('TABLERO DCA'!$K$8:$K$107,MATCH(9.99E+307,'TABLERO DCA'!$K$8:$K$107,1))),"")</f>
        <v/>
      </c>
      <c r="I27" s="34" t="str">
        <f aca="false">IFERROR(IF(D27="","",(E27-H27)*D27),"")</f>
        <v/>
      </c>
      <c r="J27" s="94" t="str">
        <f aca="false">IFERROR(IF(I27="","",I27-G27),"")</f>
        <v/>
      </c>
      <c r="K27" s="95" t="str">
        <f aca="false">IFERROR(IF(J27="","",J27/(H27*D27)),"")</f>
        <v/>
      </c>
      <c r="L27" s="2"/>
      <c r="M27" s="2"/>
      <c r="N27" s="2"/>
      <c r="O27" s="2"/>
      <c r="P27" s="2"/>
    </row>
    <row r="28" customFormat="false" ht="21.75" hidden="false" customHeight="true" outlineLevel="0" collapsed="false">
      <c r="A28" s="2"/>
      <c r="B28" s="20"/>
      <c r="C28" s="89"/>
      <c r="D28" s="28"/>
      <c r="E28" s="24"/>
      <c r="F28" s="90" t="str">
        <f aca="false">IFERROR(IF(D28="","",D28*E28-G28),"")</f>
        <v/>
      </c>
      <c r="G28" s="26"/>
      <c r="H28" s="91" t="str">
        <f aca="false" t="array" ref="H28:H28">IFERROR(IF(D28="","",INDEX('TABLERO DCA'!$K$8:$K$107,MATCH(9.99E+307,'TABLERO DCA'!$K$8:$K$107,1))),"")</f>
        <v/>
      </c>
      <c r="I28" s="27" t="str">
        <f aca="false">IFERROR(IF(D28="","",(E28-H28)*D28),"")</f>
        <v/>
      </c>
      <c r="J28" s="90" t="str">
        <f aca="false">IFERROR(IF(I28="","",I28-G28),"")</f>
        <v/>
      </c>
      <c r="K28" s="92" t="str">
        <f aca="false">IFERROR(IF(J28="","",J28/(H28*D28)),"")</f>
        <v/>
      </c>
      <c r="L28" s="2"/>
      <c r="M28" s="2"/>
      <c r="N28" s="2"/>
      <c r="O28" s="2"/>
      <c r="P28" s="2"/>
    </row>
    <row r="29" customFormat="false" ht="21.75" hidden="false" customHeight="true" outlineLevel="0" collapsed="false">
      <c r="A29" s="2"/>
      <c r="B29" s="38"/>
      <c r="C29" s="93"/>
      <c r="D29" s="35"/>
      <c r="E29" s="32"/>
      <c r="F29" s="94" t="str">
        <f aca="false">IFERROR(IF(D29="","",D29*E29-G29),"")</f>
        <v/>
      </c>
      <c r="G29" s="37"/>
      <c r="H29" s="91" t="str">
        <f aca="false" t="array" ref="H29:H29">IFERROR(IF(D29="","",INDEX('TABLERO DCA'!$K$8:$K$107,MATCH(9.99E+307,'TABLERO DCA'!$K$8:$K$107,1))),"")</f>
        <v/>
      </c>
      <c r="I29" s="34" t="str">
        <f aca="false">IFERROR(IF(D29="","",(E29-H29)*D29),"")</f>
        <v/>
      </c>
      <c r="J29" s="94" t="str">
        <f aca="false">IFERROR(IF(I29="","",I29-G29),"")</f>
        <v/>
      </c>
      <c r="K29" s="95" t="str">
        <f aca="false">IFERROR(IF(J29="","",J29/(H29*D29)),"")</f>
        <v/>
      </c>
      <c r="L29" s="2"/>
      <c r="M29" s="2"/>
      <c r="N29" s="2"/>
      <c r="O29" s="2"/>
      <c r="P29" s="2"/>
    </row>
    <row r="30" customFormat="false" ht="21.75" hidden="false" customHeight="true" outlineLevel="0" collapsed="false">
      <c r="A30" s="2"/>
      <c r="B30" s="20"/>
      <c r="C30" s="89"/>
      <c r="D30" s="28"/>
      <c r="E30" s="24"/>
      <c r="F30" s="90" t="str">
        <f aca="false">IFERROR(IF(D30="","",D30*E30-G30),"")</f>
        <v/>
      </c>
      <c r="G30" s="26"/>
      <c r="H30" s="91" t="str">
        <f aca="false" t="array" ref="H30:H30">IFERROR(IF(D30="","",INDEX('TABLERO DCA'!$K$8:$K$107,MATCH(9.99E+307,'TABLERO DCA'!$K$8:$K$107,1))),"")</f>
        <v/>
      </c>
      <c r="I30" s="27" t="str">
        <f aca="false">IFERROR(IF(D30="","",(E30-H30)*D30),"")</f>
        <v/>
      </c>
      <c r="J30" s="90" t="str">
        <f aca="false">IFERROR(IF(I30="","",I30-G30),"")</f>
        <v/>
      </c>
      <c r="K30" s="92" t="str">
        <f aca="false">IFERROR(IF(J30="","",J30/(H30*D30)),"")</f>
        <v/>
      </c>
      <c r="L30" s="2"/>
      <c r="M30" s="2"/>
      <c r="N30" s="2"/>
      <c r="O30" s="2"/>
      <c r="P30" s="2"/>
    </row>
    <row r="31" customFormat="false" ht="21.75" hidden="false" customHeight="true" outlineLevel="0" collapsed="false">
      <c r="A31" s="2"/>
      <c r="B31" s="38"/>
      <c r="C31" s="93"/>
      <c r="D31" s="35"/>
      <c r="E31" s="32"/>
      <c r="F31" s="94" t="str">
        <f aca="false">IFERROR(IF(D31="","",D31*E31-G31),"")</f>
        <v/>
      </c>
      <c r="G31" s="37"/>
      <c r="H31" s="91" t="str">
        <f aca="false" t="array" ref="H31:H31">IFERROR(IF(D31="","",INDEX('TABLERO DCA'!$K$8:$K$107,MATCH(9.99E+307,'TABLERO DCA'!$K$8:$K$107,1))),"")</f>
        <v/>
      </c>
      <c r="I31" s="34" t="str">
        <f aca="false">IFERROR(IF(D31="","",(E31-H31)*D31),"")</f>
        <v/>
      </c>
      <c r="J31" s="94" t="str">
        <f aca="false">IFERROR(IF(I31="","",I31-G31),"")</f>
        <v/>
      </c>
      <c r="K31" s="95" t="str">
        <f aca="false">IFERROR(IF(J31="","",J31/(H31*D31)),"")</f>
        <v/>
      </c>
      <c r="L31" s="2"/>
      <c r="M31" s="2"/>
      <c r="N31" s="2"/>
      <c r="O31" s="2"/>
      <c r="P31" s="2"/>
    </row>
    <row r="32" customFormat="false" ht="21.75" hidden="false" customHeight="true" outlineLevel="0" collapsed="false">
      <c r="A32" s="2"/>
      <c r="B32" s="20"/>
      <c r="C32" s="89"/>
      <c r="D32" s="28"/>
      <c r="E32" s="24"/>
      <c r="F32" s="90" t="str">
        <f aca="false">IFERROR(IF(D32="","",D32*E32-G32),"")</f>
        <v/>
      </c>
      <c r="G32" s="26"/>
      <c r="H32" s="91" t="str">
        <f aca="false" t="array" ref="H32:H32">IFERROR(IF(D32="","",INDEX('TABLERO DCA'!$K$8:$K$107,MATCH(9.99E+307,'TABLERO DCA'!$K$8:$K$107,1))),"")</f>
        <v/>
      </c>
      <c r="I32" s="27" t="str">
        <f aca="false">IFERROR(IF(D32="","",(E32-H32)*D32),"")</f>
        <v/>
      </c>
      <c r="J32" s="90" t="str">
        <f aca="false">IFERROR(IF(I32="","",I32-G32),"")</f>
        <v/>
      </c>
      <c r="K32" s="92" t="str">
        <f aca="false">IFERROR(IF(J32="","",J32/(H32*D32)),"")</f>
        <v/>
      </c>
      <c r="L32" s="2"/>
      <c r="M32" s="2"/>
      <c r="N32" s="2"/>
      <c r="O32" s="2"/>
      <c r="P32" s="2"/>
    </row>
    <row r="33" customFormat="false" ht="21.75" hidden="false" customHeight="true" outlineLevel="0" collapsed="false">
      <c r="A33" s="2"/>
      <c r="B33" s="38"/>
      <c r="C33" s="93"/>
      <c r="D33" s="35"/>
      <c r="E33" s="32"/>
      <c r="F33" s="94" t="str">
        <f aca="false">IFERROR(IF(D33="","",D33*E33-G33),"")</f>
        <v/>
      </c>
      <c r="G33" s="37"/>
      <c r="H33" s="91" t="str">
        <f aca="false" t="array" ref="H33:H33">IFERROR(IF(D33="","",INDEX('TABLERO DCA'!$K$8:$K$107,MATCH(9.99E+307,'TABLERO DCA'!$K$8:$K$107,1))),"")</f>
        <v/>
      </c>
      <c r="I33" s="34" t="str">
        <f aca="false">IFERROR(IF(D33="","",(E33-H33)*D33),"")</f>
        <v/>
      </c>
      <c r="J33" s="94" t="str">
        <f aca="false">IFERROR(IF(I33="","",I33-G33),"")</f>
        <v/>
      </c>
      <c r="K33" s="95" t="str">
        <f aca="false">IFERROR(IF(J33="","",J33/(H33*D33)),"")</f>
        <v/>
      </c>
      <c r="L33" s="2"/>
      <c r="M33" s="2"/>
      <c r="N33" s="2"/>
      <c r="O33" s="2"/>
      <c r="P33" s="2"/>
    </row>
    <row r="34" customFormat="false" ht="21.75" hidden="false" customHeight="true" outlineLevel="0" collapsed="false">
      <c r="A34" s="2"/>
      <c r="B34" s="20"/>
      <c r="C34" s="89"/>
      <c r="D34" s="28"/>
      <c r="E34" s="24"/>
      <c r="F34" s="90" t="str">
        <f aca="false">IFERROR(IF(D34="","",D34*E34-G34),"")</f>
        <v/>
      </c>
      <c r="G34" s="26"/>
      <c r="H34" s="91" t="str">
        <f aca="false" t="array" ref="H34:H34">IFERROR(IF(D34="","",INDEX('TABLERO DCA'!$K$8:$K$107,MATCH(9.99E+307,'TABLERO DCA'!$K$8:$K$107,1))),"")</f>
        <v/>
      </c>
      <c r="I34" s="27" t="str">
        <f aca="false">IFERROR(IF(D34="","",(E34-H34)*D34),"")</f>
        <v/>
      </c>
      <c r="J34" s="90" t="str">
        <f aca="false">IFERROR(IF(I34="","",I34-G34),"")</f>
        <v/>
      </c>
      <c r="K34" s="92" t="str">
        <f aca="false">IFERROR(IF(J34="","",J34/(H34*D34)),"")</f>
        <v/>
      </c>
      <c r="L34" s="2"/>
      <c r="M34" s="2"/>
      <c r="N34" s="2"/>
      <c r="O34" s="2"/>
      <c r="P34" s="2"/>
    </row>
    <row r="35" customFormat="false" ht="21.75" hidden="false" customHeight="true" outlineLevel="0" collapsed="false">
      <c r="A35" s="2"/>
      <c r="B35" s="38"/>
      <c r="C35" s="93"/>
      <c r="D35" s="35"/>
      <c r="E35" s="32"/>
      <c r="F35" s="94" t="str">
        <f aca="false">IFERROR(IF(D35="","",D35*E35-G35),"")</f>
        <v/>
      </c>
      <c r="G35" s="37"/>
      <c r="H35" s="91" t="str">
        <f aca="false" t="array" ref="H35:H35">IFERROR(IF(D35="","",INDEX('TABLERO DCA'!$K$8:$K$107,MATCH(9.99E+307,'TABLERO DCA'!$K$8:$K$107,1))),"")</f>
        <v/>
      </c>
      <c r="I35" s="34" t="str">
        <f aca="false">IFERROR(IF(D35="","",(E35-H35)*D35),"")</f>
        <v/>
      </c>
      <c r="J35" s="94" t="str">
        <f aca="false">IFERROR(IF(I35="","",I35-G35),"")</f>
        <v/>
      </c>
      <c r="K35" s="95" t="str">
        <f aca="false">IFERROR(IF(J35="","",J35/(H35*D35)),"")</f>
        <v/>
      </c>
      <c r="L35" s="2"/>
      <c r="M35" s="2"/>
      <c r="N35" s="2"/>
      <c r="O35" s="2"/>
      <c r="P35" s="2"/>
    </row>
    <row r="36" customFormat="false" ht="21.75" hidden="false" customHeight="true" outlineLevel="0" collapsed="false">
      <c r="A36" s="2"/>
      <c r="B36" s="20"/>
      <c r="C36" s="89"/>
      <c r="D36" s="28"/>
      <c r="E36" s="24"/>
      <c r="F36" s="90" t="str">
        <f aca="false">IFERROR(IF(D36="","",D36*E36-G36),"")</f>
        <v/>
      </c>
      <c r="G36" s="26"/>
      <c r="H36" s="91" t="str">
        <f aca="false" t="array" ref="H36:H36">IFERROR(IF(D36="","",INDEX('TABLERO DCA'!$K$8:$K$107,MATCH(9.99E+307,'TABLERO DCA'!$K$8:$K$107,1))),"")</f>
        <v/>
      </c>
      <c r="I36" s="27" t="str">
        <f aca="false">IFERROR(IF(D36="","",(E36-H36)*D36),"")</f>
        <v/>
      </c>
      <c r="J36" s="90" t="str">
        <f aca="false">IFERROR(IF(I36="","",I36-G36),"")</f>
        <v/>
      </c>
      <c r="K36" s="92" t="str">
        <f aca="false">IFERROR(IF(J36="","",J36/(H36*D36)),"")</f>
        <v/>
      </c>
      <c r="L36" s="2"/>
      <c r="M36" s="2"/>
      <c r="N36" s="2"/>
      <c r="O36" s="2"/>
      <c r="P36" s="2"/>
    </row>
    <row r="37" customFormat="false" ht="21.75" hidden="false" customHeight="true" outlineLevel="0" collapsed="false">
      <c r="A37" s="2"/>
      <c r="B37" s="38"/>
      <c r="C37" s="93"/>
      <c r="D37" s="35"/>
      <c r="E37" s="32"/>
      <c r="F37" s="94" t="str">
        <f aca="false">IFERROR(IF(D37="","",D37*E37-G37),"")</f>
        <v/>
      </c>
      <c r="G37" s="37"/>
      <c r="H37" s="91" t="str">
        <f aca="false" t="array" ref="H37:H37">IFERROR(IF(D37="","",INDEX('TABLERO DCA'!$K$8:$K$107,MATCH(9.99E+307,'TABLERO DCA'!$K$8:$K$107,1))),"")</f>
        <v/>
      </c>
      <c r="I37" s="34" t="str">
        <f aca="false">IFERROR(IF(D37="","",(E37-H37)*D37),"")</f>
        <v/>
      </c>
      <c r="J37" s="94" t="str">
        <f aca="false">IFERROR(IF(I37="","",I37-G37),"")</f>
        <v/>
      </c>
      <c r="K37" s="95" t="str">
        <f aca="false">IFERROR(IF(J37="","",J37/(H37*D37)),"")</f>
        <v/>
      </c>
      <c r="L37" s="2"/>
      <c r="M37" s="2"/>
      <c r="N37" s="2"/>
      <c r="O37" s="2"/>
      <c r="P37" s="2"/>
    </row>
    <row r="38" customFormat="false" ht="21.75" hidden="false" customHeight="true" outlineLevel="0" collapsed="false">
      <c r="A38" s="2"/>
      <c r="B38" s="20"/>
      <c r="C38" s="89"/>
      <c r="D38" s="28"/>
      <c r="E38" s="24"/>
      <c r="F38" s="90" t="str">
        <f aca="false">IFERROR(IF(D38="","",D38*E38-G38),"")</f>
        <v/>
      </c>
      <c r="G38" s="26"/>
      <c r="H38" s="91" t="str">
        <f aca="false" t="array" ref="H38:H38">IFERROR(IF(D38="","",INDEX('TABLERO DCA'!$K$8:$K$107,MATCH(9.99E+307,'TABLERO DCA'!$K$8:$K$107,1))),"")</f>
        <v/>
      </c>
      <c r="I38" s="27" t="str">
        <f aca="false">IFERROR(IF(D38="","",(E38-H38)*D38),"")</f>
        <v/>
      </c>
      <c r="J38" s="90" t="str">
        <f aca="false">IFERROR(IF(I38="","",I38-G38),"")</f>
        <v/>
      </c>
      <c r="K38" s="92" t="str">
        <f aca="false">IFERROR(IF(J38="","",J38/(H38*D38)),"")</f>
        <v/>
      </c>
      <c r="L38" s="2"/>
      <c r="M38" s="2"/>
      <c r="N38" s="2"/>
      <c r="O38" s="2"/>
      <c r="P38" s="2"/>
    </row>
    <row r="39" customFormat="false" ht="21.75" hidden="false" customHeight="true" outlineLevel="0" collapsed="false">
      <c r="A39" s="2"/>
      <c r="B39" s="38"/>
      <c r="C39" s="93"/>
      <c r="D39" s="35"/>
      <c r="E39" s="32"/>
      <c r="F39" s="94" t="str">
        <f aca="false">IFERROR(IF(D39="","",D39*E39-G39),"")</f>
        <v/>
      </c>
      <c r="G39" s="37"/>
      <c r="H39" s="91" t="str">
        <f aca="false" t="array" ref="H39:H39">IFERROR(IF(D39="","",INDEX('TABLERO DCA'!$K$8:$K$107,MATCH(9.99E+307,'TABLERO DCA'!$K$8:$K$107,1))),"")</f>
        <v/>
      </c>
      <c r="I39" s="34" t="str">
        <f aca="false">IFERROR(IF(D39="","",(E39-H39)*D39),"")</f>
        <v/>
      </c>
      <c r="J39" s="94" t="str">
        <f aca="false">IFERROR(IF(I39="","",I39-G39),"")</f>
        <v/>
      </c>
      <c r="K39" s="95" t="str">
        <f aca="false">IFERROR(IF(J39="","",J39/(H39*D39)),"")</f>
        <v/>
      </c>
      <c r="L39" s="2"/>
      <c r="M39" s="2"/>
      <c r="N39" s="2"/>
      <c r="O39" s="2"/>
      <c r="P39" s="2"/>
    </row>
    <row r="40" customFormat="false" ht="21.75" hidden="false" customHeight="true" outlineLevel="0" collapsed="false">
      <c r="A40" s="2"/>
      <c r="B40" s="20"/>
      <c r="C40" s="89"/>
      <c r="D40" s="28"/>
      <c r="E40" s="24"/>
      <c r="F40" s="90" t="str">
        <f aca="false">IFERROR(IF(D40="","",D40*E40-G40),"")</f>
        <v/>
      </c>
      <c r="G40" s="26"/>
      <c r="H40" s="91" t="str">
        <f aca="false" t="array" ref="H40:H40">IFERROR(IF(D40="","",INDEX('TABLERO DCA'!$K$8:$K$107,MATCH(9.99E+307,'TABLERO DCA'!$K$8:$K$107,1))),"")</f>
        <v/>
      </c>
      <c r="I40" s="27" t="str">
        <f aca="false">IFERROR(IF(D40="","",(E40-H40)*D40),"")</f>
        <v/>
      </c>
      <c r="J40" s="90" t="str">
        <f aca="false">IFERROR(IF(I40="","",I40-G40),"")</f>
        <v/>
      </c>
      <c r="K40" s="92" t="str">
        <f aca="false">IFERROR(IF(J40="","",J40/(H40*D40)),"")</f>
        <v/>
      </c>
      <c r="L40" s="2"/>
      <c r="M40" s="2"/>
      <c r="N40" s="2"/>
      <c r="O40" s="2"/>
      <c r="P40" s="2"/>
    </row>
    <row r="41" customFormat="false" ht="21.75" hidden="false" customHeight="true" outlineLevel="0" collapsed="false">
      <c r="A41" s="2"/>
      <c r="B41" s="38"/>
      <c r="C41" s="93"/>
      <c r="D41" s="35"/>
      <c r="E41" s="32"/>
      <c r="F41" s="94" t="str">
        <f aca="false">IFERROR(IF(D41="","",D41*E41-G41),"")</f>
        <v/>
      </c>
      <c r="G41" s="37"/>
      <c r="H41" s="91" t="str">
        <f aca="false" t="array" ref="H41:H41">IFERROR(IF(D41="","",INDEX('TABLERO DCA'!$K$8:$K$107,MATCH(9.99E+307,'TABLERO DCA'!$K$8:$K$107,1))),"")</f>
        <v/>
      </c>
      <c r="I41" s="34" t="str">
        <f aca="false">IFERROR(IF(D41="","",(E41-H41)*D41),"")</f>
        <v/>
      </c>
      <c r="J41" s="94" t="str">
        <f aca="false">IFERROR(IF(I41="","",I41-G41),"")</f>
        <v/>
      </c>
      <c r="K41" s="95" t="str">
        <f aca="false">IFERROR(IF(J41="","",J41/(H41*D41)),"")</f>
        <v/>
      </c>
      <c r="L41" s="2"/>
      <c r="M41" s="2"/>
      <c r="N41" s="2"/>
      <c r="O41" s="2"/>
      <c r="P41" s="2"/>
    </row>
    <row r="42" customFormat="false" ht="21.75" hidden="false" customHeight="true" outlineLevel="0" collapsed="false">
      <c r="A42" s="2"/>
      <c r="B42" s="20"/>
      <c r="C42" s="89"/>
      <c r="D42" s="28"/>
      <c r="E42" s="24"/>
      <c r="F42" s="90" t="str">
        <f aca="false">IFERROR(IF(D42="","",D42*E42-G42),"")</f>
        <v/>
      </c>
      <c r="G42" s="26"/>
      <c r="H42" s="91" t="str">
        <f aca="false" t="array" ref="H42:H42">IFERROR(IF(D42="","",INDEX('TABLERO DCA'!$K$8:$K$107,MATCH(9.99E+307,'TABLERO DCA'!$K$8:$K$107,1))),"")</f>
        <v/>
      </c>
      <c r="I42" s="27" t="str">
        <f aca="false">IFERROR(IF(D42="","",(E42-H42)*D42),"")</f>
        <v/>
      </c>
      <c r="J42" s="90" t="str">
        <f aca="false">IFERROR(IF(I42="","",I42-G42),"")</f>
        <v/>
      </c>
      <c r="K42" s="92" t="str">
        <f aca="false">IFERROR(IF(J42="","",J42/(H42*D42)),"")</f>
        <v/>
      </c>
      <c r="L42" s="2"/>
      <c r="M42" s="2"/>
      <c r="N42" s="2"/>
      <c r="O42" s="2"/>
      <c r="P42" s="2"/>
    </row>
    <row r="43" customFormat="false" ht="21.75" hidden="false" customHeight="true" outlineLevel="0" collapsed="false">
      <c r="A43" s="2"/>
      <c r="B43" s="38"/>
      <c r="C43" s="93"/>
      <c r="D43" s="35"/>
      <c r="E43" s="32"/>
      <c r="F43" s="94" t="str">
        <f aca="false">IFERROR(IF(D43="","",D43*E43-G43),"")</f>
        <v/>
      </c>
      <c r="G43" s="37"/>
      <c r="H43" s="91" t="str">
        <f aca="false" t="array" ref="H43:H43">IFERROR(IF(D43="","",INDEX('TABLERO DCA'!$K$8:$K$107,MATCH(9.99E+307,'TABLERO DCA'!$K$8:$K$107,1))),"")</f>
        <v/>
      </c>
      <c r="I43" s="34" t="str">
        <f aca="false">IFERROR(IF(D43="","",(E43-H43)*D43),"")</f>
        <v/>
      </c>
      <c r="J43" s="94" t="str">
        <f aca="false">IFERROR(IF(I43="","",I43-G43),"")</f>
        <v/>
      </c>
      <c r="K43" s="95" t="str">
        <f aca="false">IFERROR(IF(J43="","",J43/(H43*D43)),"")</f>
        <v/>
      </c>
      <c r="L43" s="2"/>
      <c r="M43" s="2"/>
      <c r="N43" s="2"/>
      <c r="O43" s="2"/>
      <c r="P43" s="2"/>
    </row>
    <row r="44" customFormat="false" ht="21.75" hidden="false" customHeight="true" outlineLevel="0" collapsed="false">
      <c r="A44" s="2"/>
      <c r="B44" s="20"/>
      <c r="C44" s="89"/>
      <c r="D44" s="28"/>
      <c r="E44" s="24"/>
      <c r="F44" s="90" t="str">
        <f aca="false">IFERROR(IF(D44="","",D44*E44-G44),"")</f>
        <v/>
      </c>
      <c r="G44" s="26"/>
      <c r="H44" s="91" t="str">
        <f aca="false" t="array" ref="H44:H44">IFERROR(IF(D44="","",INDEX('TABLERO DCA'!$K$8:$K$107,MATCH(9.99E+307,'TABLERO DCA'!$K$8:$K$107,1))),"")</f>
        <v/>
      </c>
      <c r="I44" s="27" t="str">
        <f aca="false">IFERROR(IF(D44="","",(E44-H44)*D44),"")</f>
        <v/>
      </c>
      <c r="J44" s="90" t="str">
        <f aca="false">IFERROR(IF(I44="","",I44-G44),"")</f>
        <v/>
      </c>
      <c r="K44" s="92" t="str">
        <f aca="false">IFERROR(IF(J44="","",J44/(H44*D44)),"")</f>
        <v/>
      </c>
      <c r="L44" s="2"/>
      <c r="M44" s="2"/>
      <c r="N44" s="2"/>
      <c r="O44" s="2"/>
      <c r="P44" s="2"/>
    </row>
    <row r="45" customFormat="false" ht="21.75" hidden="false" customHeight="true" outlineLevel="0" collapsed="false">
      <c r="A45" s="2"/>
      <c r="B45" s="38"/>
      <c r="C45" s="93"/>
      <c r="D45" s="35"/>
      <c r="E45" s="32"/>
      <c r="F45" s="94" t="str">
        <f aca="false">IFERROR(IF(D45="","",D45*E45-G45),"")</f>
        <v/>
      </c>
      <c r="G45" s="37"/>
      <c r="H45" s="91" t="str">
        <f aca="false" t="array" ref="H45:H45">IFERROR(IF(D45="","",INDEX('TABLERO DCA'!$K$8:$K$107,MATCH(9.99E+307,'TABLERO DCA'!$K$8:$K$107,1))),"")</f>
        <v/>
      </c>
      <c r="I45" s="34" t="str">
        <f aca="false">IFERROR(IF(D45="","",(E45-H45)*D45),"")</f>
        <v/>
      </c>
      <c r="J45" s="94" t="str">
        <f aca="false">IFERROR(IF(I45="","",I45-G45),"")</f>
        <v/>
      </c>
      <c r="K45" s="95" t="str">
        <f aca="false">IFERROR(IF(J45="","",J45/(H45*D45)),"")</f>
        <v/>
      </c>
      <c r="L45" s="2"/>
      <c r="M45" s="2"/>
      <c r="N45" s="2"/>
      <c r="O45" s="2"/>
      <c r="P45" s="2"/>
    </row>
    <row r="46" customFormat="false" ht="21.75" hidden="false" customHeight="true" outlineLevel="0" collapsed="false">
      <c r="A46" s="2"/>
      <c r="B46" s="20"/>
      <c r="C46" s="89"/>
      <c r="D46" s="28"/>
      <c r="E46" s="24"/>
      <c r="F46" s="90" t="str">
        <f aca="false">IFERROR(IF(D46="","",D46*E46-G46),"")</f>
        <v/>
      </c>
      <c r="G46" s="26"/>
      <c r="H46" s="91" t="str">
        <f aca="false" t="array" ref="H46:H46">IFERROR(IF(D46="","",INDEX('TABLERO DCA'!$K$8:$K$107,MATCH(9.99E+307,'TABLERO DCA'!$K$8:$K$107,1))),"")</f>
        <v/>
      </c>
      <c r="I46" s="27" t="str">
        <f aca="false">IFERROR(IF(D46="","",(E46-H46)*D46),"")</f>
        <v/>
      </c>
      <c r="J46" s="90" t="str">
        <f aca="false">IFERROR(IF(I46="","",I46-G46),"")</f>
        <v/>
      </c>
      <c r="K46" s="92" t="str">
        <f aca="false">IFERROR(IF(J46="","",J46/(H46*D46)),"")</f>
        <v/>
      </c>
      <c r="L46" s="2"/>
      <c r="M46" s="2"/>
      <c r="N46" s="2"/>
      <c r="O46" s="2"/>
      <c r="P46" s="2"/>
    </row>
    <row r="47" customFormat="false" ht="21.75" hidden="false" customHeight="true" outlineLevel="0" collapsed="false">
      <c r="A47" s="2"/>
      <c r="B47" s="38"/>
      <c r="C47" s="93"/>
      <c r="D47" s="35"/>
      <c r="E47" s="32"/>
      <c r="F47" s="94" t="str">
        <f aca="false">IFERROR(IF(D47="","",D47*E47-G47),"")</f>
        <v/>
      </c>
      <c r="G47" s="37"/>
      <c r="H47" s="91" t="str">
        <f aca="false" t="array" ref="H47:H47">IFERROR(IF(D47="","",INDEX('TABLERO DCA'!$K$8:$K$107,MATCH(9.99E+307,'TABLERO DCA'!$K$8:$K$107,1))),"")</f>
        <v/>
      </c>
      <c r="I47" s="34" t="str">
        <f aca="false">IFERROR(IF(D47="","",(E47-H47)*D47),"")</f>
        <v/>
      </c>
      <c r="J47" s="94" t="str">
        <f aca="false">IFERROR(IF(I47="","",I47-G47),"")</f>
        <v/>
      </c>
      <c r="K47" s="95" t="str">
        <f aca="false">IFERROR(IF(J47="","",J47/(H47*D47)),"")</f>
        <v/>
      </c>
      <c r="L47" s="2"/>
      <c r="M47" s="2"/>
      <c r="N47" s="2"/>
      <c r="O47" s="2"/>
      <c r="P47" s="2"/>
    </row>
    <row r="48" customFormat="false" ht="21.75" hidden="false" customHeight="true" outlineLevel="0" collapsed="false">
      <c r="A48" s="2"/>
      <c r="B48" s="20"/>
      <c r="C48" s="89"/>
      <c r="D48" s="28"/>
      <c r="E48" s="24"/>
      <c r="F48" s="90" t="str">
        <f aca="false">IFERROR(IF(D48="","",D48*E48-G48),"")</f>
        <v/>
      </c>
      <c r="G48" s="26"/>
      <c r="H48" s="91" t="str">
        <f aca="false" t="array" ref="H48:H48">IFERROR(IF(D48="","",INDEX('TABLERO DCA'!$K$8:$K$107,MATCH(9.99E+307,'TABLERO DCA'!$K$8:$K$107,1))),"")</f>
        <v/>
      </c>
      <c r="I48" s="27" t="str">
        <f aca="false">IFERROR(IF(D48="","",(E48-H48)*D48),"")</f>
        <v/>
      </c>
      <c r="J48" s="90" t="str">
        <f aca="false">IFERROR(IF(I48="","",I48-G48),"")</f>
        <v/>
      </c>
      <c r="K48" s="92" t="str">
        <f aca="false">IFERROR(IF(J48="","",J48/(H48*D48)),"")</f>
        <v/>
      </c>
      <c r="L48" s="2"/>
      <c r="M48" s="2"/>
      <c r="N48" s="2"/>
      <c r="O48" s="2"/>
      <c r="P48" s="2"/>
    </row>
    <row r="49" customFormat="false" ht="21.75" hidden="false" customHeight="true" outlineLevel="0" collapsed="false">
      <c r="A49" s="2"/>
      <c r="B49" s="38"/>
      <c r="C49" s="93"/>
      <c r="D49" s="35"/>
      <c r="E49" s="32"/>
      <c r="F49" s="94" t="str">
        <f aca="false">IFERROR(IF(D49="","",D49*E49-G49),"")</f>
        <v/>
      </c>
      <c r="G49" s="37"/>
      <c r="H49" s="91" t="str">
        <f aca="false" t="array" ref="H49:H49">IFERROR(IF(D49="","",INDEX('TABLERO DCA'!$K$8:$K$107,MATCH(9.99E+307,'TABLERO DCA'!$K$8:$K$107,1))),"")</f>
        <v/>
      </c>
      <c r="I49" s="34" t="str">
        <f aca="false">IFERROR(IF(D49="","",(E49-H49)*D49),"")</f>
        <v/>
      </c>
      <c r="J49" s="94" t="str">
        <f aca="false">IFERROR(IF(I49="","",I49-G49),"")</f>
        <v/>
      </c>
      <c r="K49" s="95" t="str">
        <f aca="false">IFERROR(IF(J49="","",J49/(H49*D49)),"")</f>
        <v/>
      </c>
      <c r="L49" s="2"/>
      <c r="M49" s="2"/>
      <c r="N49" s="2"/>
      <c r="O49" s="2"/>
      <c r="P49" s="2"/>
    </row>
    <row r="50" customFormat="false" ht="21.75" hidden="false" customHeight="true" outlineLevel="0" collapsed="false">
      <c r="A50" s="2"/>
      <c r="B50" s="20"/>
      <c r="C50" s="89"/>
      <c r="D50" s="28"/>
      <c r="E50" s="24"/>
      <c r="F50" s="90" t="str">
        <f aca="false">IFERROR(IF(D50="","",D50*E50-G50),"")</f>
        <v/>
      </c>
      <c r="G50" s="26"/>
      <c r="H50" s="91" t="str">
        <f aca="false" t="array" ref="H50:H50">IFERROR(IF(D50="","",INDEX('TABLERO DCA'!$K$8:$K$107,MATCH(9.99E+307,'TABLERO DCA'!$K$8:$K$107,1))),"")</f>
        <v/>
      </c>
      <c r="I50" s="27" t="str">
        <f aca="false">IFERROR(IF(D50="","",(E50-H50)*D50),"")</f>
        <v/>
      </c>
      <c r="J50" s="90" t="str">
        <f aca="false">IFERROR(IF(I50="","",I50-G50),"")</f>
        <v/>
      </c>
      <c r="K50" s="92" t="str">
        <f aca="false">IFERROR(IF(J50="","",J50/(H50*D50)),"")</f>
        <v/>
      </c>
      <c r="L50" s="2"/>
      <c r="M50" s="2"/>
      <c r="N50" s="2"/>
      <c r="O50" s="2"/>
      <c r="P50" s="2"/>
    </row>
    <row r="51" customFormat="false" ht="21.75" hidden="false" customHeight="true" outlineLevel="0" collapsed="false">
      <c r="A51" s="2"/>
      <c r="B51" s="38"/>
      <c r="C51" s="93"/>
      <c r="D51" s="35"/>
      <c r="E51" s="32"/>
      <c r="F51" s="94" t="str">
        <f aca="false">IFERROR(IF(D51="","",D51*E51-G51),"")</f>
        <v/>
      </c>
      <c r="G51" s="37"/>
      <c r="H51" s="91" t="str">
        <f aca="false" t="array" ref="H51:H51">IFERROR(IF(D51="","",INDEX('TABLERO DCA'!$K$8:$K$107,MATCH(9.99E+307,'TABLERO DCA'!$K$8:$K$107,1))),"")</f>
        <v/>
      </c>
      <c r="I51" s="34" t="str">
        <f aca="false">IFERROR(IF(D51="","",(E51-H51)*D51),"")</f>
        <v/>
      </c>
      <c r="J51" s="94" t="str">
        <f aca="false">IFERROR(IF(I51="","",I51-G51),"")</f>
        <v/>
      </c>
      <c r="K51" s="95" t="str">
        <f aca="false">IFERROR(IF(J51="","",J51/(H51*D51)),"")</f>
        <v/>
      </c>
      <c r="L51" s="2"/>
      <c r="M51" s="2"/>
      <c r="N51" s="2"/>
      <c r="O51" s="2"/>
      <c r="P51" s="2"/>
    </row>
    <row r="52" customFormat="false" ht="21.75" hidden="false" customHeight="true" outlineLevel="0" collapsed="false">
      <c r="A52" s="2"/>
      <c r="B52" s="20"/>
      <c r="C52" s="89"/>
      <c r="D52" s="28"/>
      <c r="E52" s="24"/>
      <c r="F52" s="90" t="str">
        <f aca="false">IFERROR(IF(D52="","",D52*E52-G52),"")</f>
        <v/>
      </c>
      <c r="G52" s="26"/>
      <c r="H52" s="91" t="str">
        <f aca="false" t="array" ref="H52:H52">IFERROR(IF(D52="","",INDEX('TABLERO DCA'!$K$8:$K$107,MATCH(9.99E+307,'TABLERO DCA'!$K$8:$K$107,1))),"")</f>
        <v/>
      </c>
      <c r="I52" s="27" t="str">
        <f aca="false">IFERROR(IF(D52="","",(E52-H52)*D52),"")</f>
        <v/>
      </c>
      <c r="J52" s="90" t="str">
        <f aca="false">IFERROR(IF(I52="","",I52-G52),"")</f>
        <v/>
      </c>
      <c r="K52" s="92" t="str">
        <f aca="false">IFERROR(IF(J52="","",J52/(H52*D52)),"")</f>
        <v/>
      </c>
      <c r="L52" s="2"/>
      <c r="M52" s="2"/>
      <c r="N52" s="2"/>
      <c r="O52" s="2"/>
      <c r="P52" s="2"/>
    </row>
    <row r="53" customFormat="false" ht="21.75" hidden="false" customHeight="true" outlineLevel="0" collapsed="false">
      <c r="A53" s="2"/>
      <c r="B53" s="38"/>
      <c r="C53" s="93"/>
      <c r="D53" s="35"/>
      <c r="E53" s="32"/>
      <c r="F53" s="94" t="str">
        <f aca="false">IFERROR(IF(D53="","",D53*E53-G53),"")</f>
        <v/>
      </c>
      <c r="G53" s="37"/>
      <c r="H53" s="91" t="str">
        <f aca="false" t="array" ref="H53:H53">IFERROR(IF(D53="","",INDEX('TABLERO DCA'!$K$8:$K$107,MATCH(9.99E+307,'TABLERO DCA'!$K$8:$K$107,1))),"")</f>
        <v/>
      </c>
      <c r="I53" s="34" t="str">
        <f aca="false">IFERROR(IF(D53="","",(E53-H53)*D53),"")</f>
        <v/>
      </c>
      <c r="J53" s="94" t="str">
        <f aca="false">IFERROR(IF(I53="","",I53-G53),"")</f>
        <v/>
      </c>
      <c r="K53" s="95" t="str">
        <f aca="false">IFERROR(IF(J53="","",J53/(H53*D53)),"")</f>
        <v/>
      </c>
      <c r="L53" s="2"/>
      <c r="M53" s="2"/>
      <c r="N53" s="2"/>
      <c r="O53" s="2"/>
      <c r="P53" s="2"/>
    </row>
    <row r="54" customFormat="false" ht="21.75" hidden="false" customHeight="true" outlineLevel="0" collapsed="false">
      <c r="A54" s="2"/>
      <c r="B54" s="20"/>
      <c r="C54" s="89"/>
      <c r="D54" s="28"/>
      <c r="E54" s="24"/>
      <c r="F54" s="90" t="str">
        <f aca="false">IFERROR(IF(D54="","",D54*E54-G54),"")</f>
        <v/>
      </c>
      <c r="G54" s="26"/>
      <c r="H54" s="91" t="str">
        <f aca="false" t="array" ref="H54:H54">IFERROR(IF(D54="","",INDEX('TABLERO DCA'!$K$8:$K$107,MATCH(9.99E+307,'TABLERO DCA'!$K$8:$K$107,1))),"")</f>
        <v/>
      </c>
      <c r="I54" s="27" t="str">
        <f aca="false">IFERROR(IF(D54="","",(E54-H54)*D54),"")</f>
        <v/>
      </c>
      <c r="J54" s="90" t="str">
        <f aca="false">IFERROR(IF(I54="","",I54-G54),"")</f>
        <v/>
      </c>
      <c r="K54" s="92" t="str">
        <f aca="false">IFERROR(IF(J54="","",J54/(H54*D54)),"")</f>
        <v/>
      </c>
      <c r="L54" s="2"/>
      <c r="M54" s="2"/>
      <c r="N54" s="2"/>
      <c r="O54" s="2"/>
      <c r="P54" s="2"/>
    </row>
    <row r="55" customFormat="false" ht="21.75" hidden="false" customHeight="true" outlineLevel="0" collapsed="false">
      <c r="A55" s="2"/>
      <c r="B55" s="38"/>
      <c r="C55" s="93"/>
      <c r="D55" s="35"/>
      <c r="E55" s="32"/>
      <c r="F55" s="94" t="str">
        <f aca="false">IFERROR(IF(D55="","",D55*E55-G55),"")</f>
        <v/>
      </c>
      <c r="G55" s="37"/>
      <c r="H55" s="91" t="str">
        <f aca="false" t="array" ref="H55:H55">IFERROR(IF(D55="","",INDEX('TABLERO DCA'!$K$8:$K$107,MATCH(9.99E+307,'TABLERO DCA'!$K$8:$K$107,1))),"")</f>
        <v/>
      </c>
      <c r="I55" s="34" t="str">
        <f aca="false">IFERROR(IF(D55="","",(E55-H55)*D55),"")</f>
        <v/>
      </c>
      <c r="J55" s="94" t="str">
        <f aca="false">IFERROR(IF(I55="","",I55-G55),"")</f>
        <v/>
      </c>
      <c r="K55" s="95" t="str">
        <f aca="false">IFERROR(IF(J55="","",J55/(H55*D55)),"")</f>
        <v/>
      </c>
      <c r="L55" s="2"/>
      <c r="M55" s="2"/>
      <c r="N55" s="2"/>
      <c r="O55" s="2"/>
      <c r="P55" s="2"/>
    </row>
    <row r="56" customFormat="false" ht="21.75" hidden="false" customHeight="true" outlineLevel="0" collapsed="false">
      <c r="A56" s="2"/>
      <c r="B56" s="20"/>
      <c r="C56" s="89"/>
      <c r="D56" s="28"/>
      <c r="E56" s="24"/>
      <c r="F56" s="90" t="str">
        <f aca="false">IFERROR(IF(D56="","",D56*E56-G56),"")</f>
        <v/>
      </c>
      <c r="G56" s="26"/>
      <c r="H56" s="91" t="str">
        <f aca="false" t="array" ref="H56:H56">IFERROR(IF(D56="","",INDEX('TABLERO DCA'!$K$8:$K$107,MATCH(9.99E+307,'TABLERO DCA'!$K$8:$K$107,1))),"")</f>
        <v/>
      </c>
      <c r="I56" s="27" t="str">
        <f aca="false">IFERROR(IF(D56="","",(E56-H56)*D56),"")</f>
        <v/>
      </c>
      <c r="J56" s="90" t="str">
        <f aca="false">IFERROR(IF(I56="","",I56-G56),"")</f>
        <v/>
      </c>
      <c r="K56" s="92" t="str">
        <f aca="false">IFERROR(IF(J56="","",J56/(H56*D56)),"")</f>
        <v/>
      </c>
      <c r="L56" s="2"/>
      <c r="M56" s="2"/>
      <c r="N56" s="2"/>
      <c r="O56" s="2"/>
      <c r="P56" s="2"/>
    </row>
    <row r="57" customFormat="false" ht="21.75" hidden="false" customHeight="true" outlineLevel="0" collapsed="false">
      <c r="A57" s="2"/>
      <c r="B57" s="38"/>
      <c r="C57" s="93"/>
      <c r="D57" s="35"/>
      <c r="E57" s="32"/>
      <c r="F57" s="94" t="str">
        <f aca="false">IFERROR(IF(D57="","",D57*E57-G57),"")</f>
        <v/>
      </c>
      <c r="G57" s="37"/>
      <c r="H57" s="91" t="str">
        <f aca="false" t="array" ref="H57:H57">IFERROR(IF(D57="","",INDEX('TABLERO DCA'!$K$8:$K$107,MATCH(9.99E+307,'TABLERO DCA'!$K$8:$K$107,1))),"")</f>
        <v/>
      </c>
      <c r="I57" s="34" t="str">
        <f aca="false">IFERROR(IF(D57="","",(E57-H57)*D57),"")</f>
        <v/>
      </c>
      <c r="J57" s="94" t="str">
        <f aca="false">IFERROR(IF(I57="","",I57-G57),"")</f>
        <v/>
      </c>
      <c r="K57" s="95" t="str">
        <f aca="false">IFERROR(IF(J57="","",J57/(H57*D57)),"")</f>
        <v/>
      </c>
      <c r="L57" s="2"/>
      <c r="M57" s="2"/>
      <c r="N57" s="2"/>
      <c r="O57" s="2"/>
      <c r="P57" s="2"/>
    </row>
    <row r="58" customFormat="false" ht="21.75" hidden="false" customHeight="true" outlineLevel="0" collapsed="false">
      <c r="A58" s="2"/>
      <c r="B58" s="20"/>
      <c r="C58" s="89"/>
      <c r="D58" s="28"/>
      <c r="E58" s="24"/>
      <c r="F58" s="90" t="str">
        <f aca="false">IFERROR(IF(D58="","",D58*E58-G58),"")</f>
        <v/>
      </c>
      <c r="G58" s="26"/>
      <c r="H58" s="91" t="str">
        <f aca="false" t="array" ref="H58:H58">IFERROR(IF(D58="","",INDEX('TABLERO DCA'!$K$8:$K$107,MATCH(9.99E+307,'TABLERO DCA'!$K$8:$K$107,1))),"")</f>
        <v/>
      </c>
      <c r="I58" s="27" t="str">
        <f aca="false">IFERROR(IF(D58="","",(E58-H58)*D58),"")</f>
        <v/>
      </c>
      <c r="J58" s="90" t="str">
        <f aca="false">IFERROR(IF(I58="","",I58-G58),"")</f>
        <v/>
      </c>
      <c r="K58" s="92" t="str">
        <f aca="false">IFERROR(IF(J58="","",J58/(H58*D58)),"")</f>
        <v/>
      </c>
      <c r="L58" s="2"/>
      <c r="M58" s="2"/>
      <c r="N58" s="2"/>
      <c r="O58" s="2"/>
      <c r="P58" s="2"/>
    </row>
    <row r="59" customFormat="false" ht="21.75" hidden="false" customHeight="true" outlineLevel="0" collapsed="false">
      <c r="A59" s="2"/>
      <c r="B59" s="38"/>
      <c r="C59" s="93"/>
      <c r="D59" s="35"/>
      <c r="E59" s="32"/>
      <c r="F59" s="94" t="str">
        <f aca="false">IFERROR(IF(D59="","",D59*E59-G59),"")</f>
        <v/>
      </c>
      <c r="G59" s="37"/>
      <c r="H59" s="91" t="str">
        <f aca="false" t="array" ref="H59:H59">IFERROR(IF(D59="","",INDEX('TABLERO DCA'!$K$8:$K$107,MATCH(9.99E+307,'TABLERO DCA'!$K$8:$K$107,1))),"")</f>
        <v/>
      </c>
      <c r="I59" s="34" t="str">
        <f aca="false">IFERROR(IF(D59="","",(E59-H59)*D59),"")</f>
        <v/>
      </c>
      <c r="J59" s="94" t="str">
        <f aca="false">IFERROR(IF(I59="","",I59-G59),"")</f>
        <v/>
      </c>
      <c r="K59" s="95" t="str">
        <f aca="false">IFERROR(IF(J59="","",J59/(H59*D59)),"")</f>
        <v/>
      </c>
      <c r="L59" s="2"/>
      <c r="M59" s="2"/>
      <c r="N59" s="2"/>
      <c r="O59" s="2"/>
      <c r="P59" s="2"/>
    </row>
    <row r="60" customFormat="false" ht="21.75" hidden="false" customHeight="true" outlineLevel="0" collapsed="false">
      <c r="A60" s="2"/>
      <c r="B60" s="20"/>
      <c r="C60" s="89"/>
      <c r="D60" s="28"/>
      <c r="E60" s="24"/>
      <c r="F60" s="90" t="str">
        <f aca="false">IFERROR(IF(D60="","",D60*E60-G60),"")</f>
        <v/>
      </c>
      <c r="G60" s="26"/>
      <c r="H60" s="91" t="str">
        <f aca="false" t="array" ref="H60:H60">IFERROR(IF(D60="","",INDEX('TABLERO DCA'!$K$8:$K$107,MATCH(9.99E+307,'TABLERO DCA'!$K$8:$K$107,1))),"")</f>
        <v/>
      </c>
      <c r="I60" s="27" t="str">
        <f aca="false">IFERROR(IF(D60="","",(E60-H60)*D60),"")</f>
        <v/>
      </c>
      <c r="J60" s="90" t="str">
        <f aca="false">IFERROR(IF(I60="","",I60-G60),"")</f>
        <v/>
      </c>
      <c r="K60" s="92" t="str">
        <f aca="false">IFERROR(IF(J60="","",J60/(H60*D60)),"")</f>
        <v/>
      </c>
      <c r="L60" s="2"/>
      <c r="M60" s="2"/>
      <c r="N60" s="2"/>
      <c r="O60" s="2"/>
      <c r="P60" s="2"/>
    </row>
    <row r="61" customFormat="false" ht="21.75" hidden="false" customHeight="true" outlineLevel="0" collapsed="false">
      <c r="A61" s="2"/>
      <c r="B61" s="38"/>
      <c r="C61" s="93"/>
      <c r="D61" s="35"/>
      <c r="E61" s="32"/>
      <c r="F61" s="94" t="str">
        <f aca="false">IFERROR(IF(D61="","",D61*E61-G61),"")</f>
        <v/>
      </c>
      <c r="G61" s="37"/>
      <c r="H61" s="91" t="str">
        <f aca="false" t="array" ref="H61:H61">IFERROR(IF(D61="","",INDEX('TABLERO DCA'!$K$8:$K$107,MATCH(9.99E+307,'TABLERO DCA'!$K$8:$K$107,1))),"")</f>
        <v/>
      </c>
      <c r="I61" s="34" t="str">
        <f aca="false">IFERROR(IF(D61="","",(E61-H61)*D61),"")</f>
        <v/>
      </c>
      <c r="J61" s="94" t="str">
        <f aca="false">IFERROR(IF(I61="","",I61-G61),"")</f>
        <v/>
      </c>
      <c r="K61" s="95" t="str">
        <f aca="false">IFERROR(IF(J61="","",J61/(H61*D61)),"")</f>
        <v/>
      </c>
      <c r="L61" s="2"/>
      <c r="M61" s="2"/>
      <c r="N61" s="2"/>
      <c r="O61" s="2"/>
      <c r="P61" s="2"/>
    </row>
    <row r="62" customFormat="false" ht="21.75" hidden="false" customHeight="true" outlineLevel="0" collapsed="false">
      <c r="A62" s="2"/>
      <c r="B62" s="20"/>
      <c r="C62" s="89"/>
      <c r="D62" s="28"/>
      <c r="E62" s="24"/>
      <c r="F62" s="90" t="str">
        <f aca="false">IFERROR(IF(D62="","",D62*E62-G62),"")</f>
        <v/>
      </c>
      <c r="G62" s="26"/>
      <c r="H62" s="91" t="str">
        <f aca="false" t="array" ref="H62:H62">IFERROR(IF(D62="","",INDEX('TABLERO DCA'!$K$8:$K$107,MATCH(9.99E+307,'TABLERO DCA'!$K$8:$K$107,1))),"")</f>
        <v/>
      </c>
      <c r="I62" s="27" t="str">
        <f aca="false">IFERROR(IF(D62="","",(E62-H62)*D62),"")</f>
        <v/>
      </c>
      <c r="J62" s="90" t="str">
        <f aca="false">IFERROR(IF(I62="","",I62-G62),"")</f>
        <v/>
      </c>
      <c r="K62" s="92" t="str">
        <f aca="false">IFERROR(IF(J62="","",J62/(H62*D62)),"")</f>
        <v/>
      </c>
      <c r="L62" s="2"/>
      <c r="M62" s="2"/>
      <c r="N62" s="2"/>
      <c r="O62" s="2"/>
      <c r="P62" s="2"/>
    </row>
    <row r="63" customFormat="false" ht="21.75" hidden="false" customHeight="true" outlineLevel="0" collapsed="false">
      <c r="A63" s="2"/>
      <c r="B63" s="38"/>
      <c r="C63" s="93"/>
      <c r="D63" s="35"/>
      <c r="E63" s="32"/>
      <c r="F63" s="94" t="str">
        <f aca="false">IFERROR(IF(D63="","",D63*E63-G63),"")</f>
        <v/>
      </c>
      <c r="G63" s="37"/>
      <c r="H63" s="91" t="str">
        <f aca="false" t="array" ref="H63:H63">IFERROR(IF(D63="","",INDEX('TABLERO DCA'!$K$8:$K$107,MATCH(9.99E+307,'TABLERO DCA'!$K$8:$K$107,1))),"")</f>
        <v/>
      </c>
      <c r="I63" s="34" t="str">
        <f aca="false">IFERROR(IF(D63="","",(E63-H63)*D63),"")</f>
        <v/>
      </c>
      <c r="J63" s="94" t="str">
        <f aca="false">IFERROR(IF(I63="","",I63-G63),"")</f>
        <v/>
      </c>
      <c r="K63" s="95" t="str">
        <f aca="false">IFERROR(IF(J63="","",J63/(H63*D63)),"")</f>
        <v/>
      </c>
      <c r="L63" s="2"/>
      <c r="M63" s="2"/>
      <c r="N63" s="2"/>
      <c r="O63" s="2"/>
      <c r="P63" s="2"/>
    </row>
    <row r="64" customFormat="false" ht="21.75" hidden="false" customHeight="true" outlineLevel="0" collapsed="false">
      <c r="A64" s="2"/>
      <c r="B64" s="20"/>
      <c r="C64" s="89"/>
      <c r="D64" s="28"/>
      <c r="E64" s="24"/>
      <c r="F64" s="90" t="str">
        <f aca="false">IFERROR(IF(D64="","",D64*E64-G64),"")</f>
        <v/>
      </c>
      <c r="G64" s="26"/>
      <c r="H64" s="91" t="str">
        <f aca="false" t="array" ref="H64:H64">IFERROR(IF(D64="","",INDEX('TABLERO DCA'!$K$8:$K$107,MATCH(9.99E+307,'TABLERO DCA'!$K$8:$K$107,1))),"")</f>
        <v/>
      </c>
      <c r="I64" s="27" t="str">
        <f aca="false">IFERROR(IF(D64="","",(E64-H64)*D64),"")</f>
        <v/>
      </c>
      <c r="J64" s="90" t="str">
        <f aca="false">IFERROR(IF(I64="","",I64-G64),"")</f>
        <v/>
      </c>
      <c r="K64" s="92" t="str">
        <f aca="false">IFERROR(IF(J64="","",J64/(H64*D64)),"")</f>
        <v/>
      </c>
      <c r="L64" s="2"/>
      <c r="M64" s="2"/>
      <c r="N64" s="2"/>
      <c r="O64" s="2"/>
      <c r="P64" s="2"/>
    </row>
    <row r="65" customFormat="false" ht="21.75" hidden="false" customHeight="true" outlineLevel="0" collapsed="false">
      <c r="A65" s="2"/>
      <c r="B65" s="38"/>
      <c r="C65" s="93"/>
      <c r="D65" s="35"/>
      <c r="E65" s="32"/>
      <c r="F65" s="94" t="str">
        <f aca="false">IFERROR(IF(D65="","",D65*E65-G65),"")</f>
        <v/>
      </c>
      <c r="G65" s="37"/>
      <c r="H65" s="91" t="str">
        <f aca="false" t="array" ref="H65:H65">IFERROR(IF(D65="","",INDEX('TABLERO DCA'!$K$8:$K$107,MATCH(9.99E+307,'TABLERO DCA'!$K$8:$K$107,1))),"")</f>
        <v/>
      </c>
      <c r="I65" s="34" t="str">
        <f aca="false">IFERROR(IF(D65="","",(E65-H65)*D65),"")</f>
        <v/>
      </c>
      <c r="J65" s="94" t="str">
        <f aca="false">IFERROR(IF(I65="","",I65-G65),"")</f>
        <v/>
      </c>
      <c r="K65" s="95" t="str">
        <f aca="false">IFERROR(IF(J65="","",J65/(H65*D65)),"")</f>
        <v/>
      </c>
      <c r="L65" s="2"/>
      <c r="M65" s="2"/>
      <c r="N65" s="2"/>
      <c r="O65" s="2"/>
      <c r="P65" s="2"/>
    </row>
    <row r="66" customFormat="false" ht="21.75" hidden="false" customHeight="true" outlineLevel="0" collapsed="false">
      <c r="A66" s="2"/>
      <c r="B66" s="20"/>
      <c r="C66" s="89"/>
      <c r="D66" s="28"/>
      <c r="E66" s="24"/>
      <c r="F66" s="90" t="str">
        <f aca="false">IFERROR(IF(D66="","",D66*E66-G66),"")</f>
        <v/>
      </c>
      <c r="G66" s="26"/>
      <c r="H66" s="91" t="str">
        <f aca="false" t="array" ref="H66:H66">IFERROR(IF(D66="","",INDEX('TABLERO DCA'!$K$8:$K$107,MATCH(9.99E+307,'TABLERO DCA'!$K$8:$K$107,1))),"")</f>
        <v/>
      </c>
      <c r="I66" s="27" t="str">
        <f aca="false">IFERROR(IF(D66="","",(E66-H66)*D66),"")</f>
        <v/>
      </c>
      <c r="J66" s="90" t="str">
        <f aca="false">IFERROR(IF(I66="","",I66-G66),"")</f>
        <v/>
      </c>
      <c r="K66" s="92" t="str">
        <f aca="false">IFERROR(IF(J66="","",J66/(H66*D66)),"")</f>
        <v/>
      </c>
      <c r="L66" s="2"/>
      <c r="M66" s="2"/>
      <c r="N66" s="2"/>
      <c r="O66" s="2"/>
      <c r="P66" s="2"/>
    </row>
    <row r="67" customFormat="false" ht="21.75" hidden="false" customHeight="true" outlineLevel="0" collapsed="false">
      <c r="A67" s="2"/>
      <c r="B67" s="38"/>
      <c r="C67" s="93"/>
      <c r="D67" s="35"/>
      <c r="E67" s="32"/>
      <c r="F67" s="94" t="str">
        <f aca="false">IFERROR(IF(D67="","",D67*E67-G67),"")</f>
        <v/>
      </c>
      <c r="G67" s="37"/>
      <c r="H67" s="91" t="str">
        <f aca="false" t="array" ref="H67:H67">IFERROR(IF(D67="","",INDEX('TABLERO DCA'!$K$8:$K$107,MATCH(9.99E+307,'TABLERO DCA'!$K$8:$K$107,1))),"")</f>
        <v/>
      </c>
      <c r="I67" s="34" t="str">
        <f aca="false">IFERROR(IF(D67="","",(E67-H67)*D67),"")</f>
        <v/>
      </c>
      <c r="J67" s="94" t="str">
        <f aca="false">IFERROR(IF(I67="","",I67-G67),"")</f>
        <v/>
      </c>
      <c r="K67" s="95" t="str">
        <f aca="false">IFERROR(IF(J67="","",J67/(H67*D67)),"")</f>
        <v/>
      </c>
      <c r="L67" s="2"/>
      <c r="M67" s="2"/>
      <c r="N67" s="2"/>
      <c r="O67" s="2"/>
      <c r="P67" s="2"/>
    </row>
    <row r="68" customFormat="false" ht="21.75" hidden="false" customHeight="true" outlineLevel="0" collapsed="false">
      <c r="A68" s="2"/>
      <c r="B68" s="20"/>
      <c r="C68" s="89"/>
      <c r="D68" s="28"/>
      <c r="E68" s="24"/>
      <c r="F68" s="90" t="str">
        <f aca="false">IFERROR(IF(D68="","",D68*E68-G68),"")</f>
        <v/>
      </c>
      <c r="G68" s="26"/>
      <c r="H68" s="91" t="str">
        <f aca="false" t="array" ref="H68:H68">IFERROR(IF(D68="","",INDEX('TABLERO DCA'!$K$8:$K$107,MATCH(9.99E+307,'TABLERO DCA'!$K$8:$K$107,1))),"")</f>
        <v/>
      </c>
      <c r="I68" s="27" t="str">
        <f aca="false">IFERROR(IF(D68="","",(E68-H68)*D68),"")</f>
        <v/>
      </c>
      <c r="J68" s="90" t="str">
        <f aca="false">IFERROR(IF(I68="","",I68-G68),"")</f>
        <v/>
      </c>
      <c r="K68" s="92" t="str">
        <f aca="false">IFERROR(IF(J68="","",J68/(H68*D68)),"")</f>
        <v/>
      </c>
      <c r="L68" s="2"/>
      <c r="M68" s="2"/>
      <c r="N68" s="2"/>
      <c r="O68" s="2"/>
      <c r="P68" s="2"/>
    </row>
    <row r="69" customFormat="false" ht="21.75" hidden="false" customHeight="true" outlineLevel="0" collapsed="false">
      <c r="A69" s="2"/>
      <c r="B69" s="38"/>
      <c r="C69" s="93"/>
      <c r="D69" s="35"/>
      <c r="E69" s="32"/>
      <c r="F69" s="94" t="str">
        <f aca="false">IFERROR(IF(D69="","",D69*E69-G69),"")</f>
        <v/>
      </c>
      <c r="G69" s="37"/>
      <c r="H69" s="91" t="str">
        <f aca="false" t="array" ref="H69:H69">IFERROR(IF(D69="","",INDEX('TABLERO DCA'!$K$8:$K$107,MATCH(9.99E+307,'TABLERO DCA'!$K$8:$K$107,1))),"")</f>
        <v/>
      </c>
      <c r="I69" s="34" t="str">
        <f aca="false">IFERROR(IF(D69="","",(E69-H69)*D69),"")</f>
        <v/>
      </c>
      <c r="J69" s="94" t="str">
        <f aca="false">IFERROR(IF(I69="","",I69-G69),"")</f>
        <v/>
      </c>
      <c r="K69" s="95" t="str">
        <f aca="false">IFERROR(IF(J69="","",J69/(H69*D69)),"")</f>
        <v/>
      </c>
      <c r="L69" s="2"/>
      <c r="M69" s="2"/>
      <c r="N69" s="2"/>
      <c r="O69" s="2"/>
      <c r="P69" s="2"/>
    </row>
    <row r="70" customFormat="false" ht="21.75" hidden="false" customHeight="true" outlineLevel="0" collapsed="false">
      <c r="A70" s="2"/>
      <c r="B70" s="20"/>
      <c r="C70" s="89"/>
      <c r="D70" s="28"/>
      <c r="E70" s="24"/>
      <c r="F70" s="90" t="str">
        <f aca="false">IFERROR(IF(D70="","",D70*E70-G70),"")</f>
        <v/>
      </c>
      <c r="G70" s="26"/>
      <c r="H70" s="91" t="str">
        <f aca="false" t="array" ref="H70:H70">IFERROR(IF(D70="","",INDEX('TABLERO DCA'!$K$8:$K$107,MATCH(9.99E+307,'TABLERO DCA'!$K$8:$K$107,1))),"")</f>
        <v/>
      </c>
      <c r="I70" s="27" t="str">
        <f aca="false">IFERROR(IF(D70="","",(E70-H70)*D70),"")</f>
        <v/>
      </c>
      <c r="J70" s="90" t="str">
        <f aca="false">IFERROR(IF(I70="","",I70-G70),"")</f>
        <v/>
      </c>
      <c r="K70" s="92" t="str">
        <f aca="false">IFERROR(IF(J70="","",J70/(H70*D70)),"")</f>
        <v/>
      </c>
      <c r="L70" s="2"/>
      <c r="M70" s="2"/>
      <c r="N70" s="2"/>
      <c r="O70" s="2"/>
      <c r="P70" s="2"/>
    </row>
    <row r="71" customFormat="false" ht="21.75" hidden="false" customHeight="true" outlineLevel="0" collapsed="false">
      <c r="A71" s="2"/>
      <c r="B71" s="38"/>
      <c r="C71" s="93"/>
      <c r="D71" s="35"/>
      <c r="E71" s="32"/>
      <c r="F71" s="94" t="str">
        <f aca="false">IFERROR(IF(D71="","",D71*E71-G71),"")</f>
        <v/>
      </c>
      <c r="G71" s="37"/>
      <c r="H71" s="91" t="str">
        <f aca="false" t="array" ref="H71:H71">IFERROR(IF(D71="","",INDEX('TABLERO DCA'!$K$8:$K$107,MATCH(9.99E+307,'TABLERO DCA'!$K$8:$K$107,1))),"")</f>
        <v/>
      </c>
      <c r="I71" s="34" t="str">
        <f aca="false">IFERROR(IF(D71="","",(E71-H71)*D71),"")</f>
        <v/>
      </c>
      <c r="J71" s="94" t="str">
        <f aca="false">IFERROR(IF(I71="","",I71-G71),"")</f>
        <v/>
      </c>
      <c r="K71" s="95" t="str">
        <f aca="false">IFERROR(IF(J71="","",J71/(H71*D71)),"")</f>
        <v/>
      </c>
      <c r="L71" s="2"/>
      <c r="M71" s="2"/>
      <c r="N71" s="2"/>
      <c r="O71" s="2"/>
      <c r="P71" s="2"/>
    </row>
    <row r="72" customFormat="false" ht="21.75" hidden="false" customHeight="true" outlineLevel="0" collapsed="false">
      <c r="A72" s="2"/>
      <c r="B72" s="20"/>
      <c r="C72" s="89"/>
      <c r="D72" s="28"/>
      <c r="E72" s="24"/>
      <c r="F72" s="90" t="str">
        <f aca="false">IFERROR(IF(D72="","",D72*E72-G72),"")</f>
        <v/>
      </c>
      <c r="G72" s="26"/>
      <c r="H72" s="91" t="str">
        <f aca="false" t="array" ref="H72:H72">IFERROR(IF(D72="","",INDEX('TABLERO DCA'!$K$8:$K$107,MATCH(9.99E+307,'TABLERO DCA'!$K$8:$K$107,1))),"")</f>
        <v/>
      </c>
      <c r="I72" s="27" t="str">
        <f aca="false">IFERROR(IF(D72="","",(E72-H72)*D72),"")</f>
        <v/>
      </c>
      <c r="J72" s="90" t="str">
        <f aca="false">IFERROR(IF(I72="","",I72-G72),"")</f>
        <v/>
      </c>
      <c r="K72" s="92" t="str">
        <f aca="false">IFERROR(IF(J72="","",J72/(H72*D72)),"")</f>
        <v/>
      </c>
      <c r="L72" s="2"/>
      <c r="M72" s="2"/>
      <c r="N72" s="2"/>
      <c r="O72" s="2"/>
      <c r="P72" s="2"/>
    </row>
    <row r="73" customFormat="false" ht="21.75" hidden="false" customHeight="true" outlineLevel="0" collapsed="false">
      <c r="A73" s="2"/>
      <c r="B73" s="38"/>
      <c r="C73" s="93"/>
      <c r="D73" s="35"/>
      <c r="E73" s="32"/>
      <c r="F73" s="94" t="str">
        <f aca="false">IFERROR(IF(D73="","",D73*E73-G73),"")</f>
        <v/>
      </c>
      <c r="G73" s="37"/>
      <c r="H73" s="91" t="str">
        <f aca="false" t="array" ref="H73:H73">IFERROR(IF(D73="","",INDEX('TABLERO DCA'!$K$8:$K$107,MATCH(9.99E+307,'TABLERO DCA'!$K$8:$K$107,1))),"")</f>
        <v/>
      </c>
      <c r="I73" s="34" t="str">
        <f aca="false">IFERROR(IF(D73="","",(E73-H73)*D73),"")</f>
        <v/>
      </c>
      <c r="J73" s="94" t="str">
        <f aca="false">IFERROR(IF(I73="","",I73-G73),"")</f>
        <v/>
      </c>
      <c r="K73" s="95" t="str">
        <f aca="false">IFERROR(IF(J73="","",J73/(H73*D73)),"")</f>
        <v/>
      </c>
      <c r="L73" s="2"/>
      <c r="M73" s="2"/>
      <c r="N73" s="2"/>
      <c r="O73" s="2"/>
      <c r="P73" s="2"/>
    </row>
    <row r="74" customFormat="false" ht="21.75" hidden="false" customHeight="true" outlineLevel="0" collapsed="false">
      <c r="A74" s="2"/>
      <c r="B74" s="20"/>
      <c r="C74" s="89"/>
      <c r="D74" s="28"/>
      <c r="E74" s="24"/>
      <c r="F74" s="90" t="str">
        <f aca="false">IFERROR(IF(D74="","",D74*E74-G74),"")</f>
        <v/>
      </c>
      <c r="G74" s="26"/>
      <c r="H74" s="91" t="str">
        <f aca="false" t="array" ref="H74:H74">IFERROR(IF(D74="","",INDEX('TABLERO DCA'!$K$8:$K$107,MATCH(9.99E+307,'TABLERO DCA'!$K$8:$K$107,1))),"")</f>
        <v/>
      </c>
      <c r="I74" s="27" t="str">
        <f aca="false">IFERROR(IF(D74="","",(E74-H74)*D74),"")</f>
        <v/>
      </c>
      <c r="J74" s="90" t="str">
        <f aca="false">IFERROR(IF(I74="","",I74-G74),"")</f>
        <v/>
      </c>
      <c r="K74" s="92" t="str">
        <f aca="false">IFERROR(IF(J74="","",J74/(H74*D74)),"")</f>
        <v/>
      </c>
      <c r="L74" s="2"/>
      <c r="M74" s="2"/>
      <c r="N74" s="2"/>
      <c r="O74" s="2"/>
      <c r="P74" s="2"/>
    </row>
    <row r="75" customFormat="false" ht="21.75" hidden="false" customHeight="true" outlineLevel="0" collapsed="false">
      <c r="A75" s="2"/>
      <c r="B75" s="38"/>
      <c r="C75" s="93"/>
      <c r="D75" s="35"/>
      <c r="E75" s="32"/>
      <c r="F75" s="94" t="str">
        <f aca="false">IFERROR(IF(D75="","",D75*E75-G75),"")</f>
        <v/>
      </c>
      <c r="G75" s="37"/>
      <c r="H75" s="91" t="str">
        <f aca="false" t="array" ref="H75:H75">IFERROR(IF(D75="","",INDEX('TABLERO DCA'!$K$8:$K$107,MATCH(9.99E+307,'TABLERO DCA'!$K$8:$K$107,1))),"")</f>
        <v/>
      </c>
      <c r="I75" s="34" t="str">
        <f aca="false">IFERROR(IF(D75="","",(E75-H75)*D75),"")</f>
        <v/>
      </c>
      <c r="J75" s="94" t="str">
        <f aca="false">IFERROR(IF(I75="","",I75-G75),"")</f>
        <v/>
      </c>
      <c r="K75" s="95" t="str">
        <f aca="false">IFERROR(IF(J75="","",J75/(H75*D75)),"")</f>
        <v/>
      </c>
      <c r="L75" s="2"/>
      <c r="M75" s="2"/>
      <c r="N75" s="2"/>
      <c r="O75" s="2"/>
      <c r="P75" s="2"/>
    </row>
    <row r="76" customFormat="false" ht="21.75" hidden="false" customHeight="true" outlineLevel="0" collapsed="false">
      <c r="A76" s="2"/>
      <c r="B76" s="20"/>
      <c r="C76" s="89"/>
      <c r="D76" s="28"/>
      <c r="E76" s="24"/>
      <c r="F76" s="90" t="str">
        <f aca="false">IFERROR(IF(D76="","",D76*E76-G76),"")</f>
        <v/>
      </c>
      <c r="G76" s="26"/>
      <c r="H76" s="91" t="str">
        <f aca="false" t="array" ref="H76:H76">IFERROR(IF(D76="","",INDEX('TABLERO DCA'!$K$8:$K$107,MATCH(9.99E+307,'TABLERO DCA'!$K$8:$K$107,1))),"")</f>
        <v/>
      </c>
      <c r="I76" s="27" t="str">
        <f aca="false">IFERROR(IF(D76="","",(E76-H76)*D76),"")</f>
        <v/>
      </c>
      <c r="J76" s="90" t="str">
        <f aca="false">IFERROR(IF(I76="","",I76-G76),"")</f>
        <v/>
      </c>
      <c r="K76" s="92" t="str">
        <f aca="false">IFERROR(IF(J76="","",J76/(H76*D76)),"")</f>
        <v/>
      </c>
      <c r="L76" s="2"/>
      <c r="M76" s="2"/>
      <c r="N76" s="2"/>
      <c r="O76" s="2"/>
      <c r="P76" s="2"/>
    </row>
    <row r="77" customFormat="false" ht="21.75" hidden="false" customHeight="true" outlineLevel="0" collapsed="false">
      <c r="A77" s="2"/>
      <c r="B77" s="38"/>
      <c r="C77" s="93"/>
      <c r="D77" s="35"/>
      <c r="E77" s="32"/>
      <c r="F77" s="94" t="str">
        <f aca="false">IFERROR(IF(D77="","",D77*E77-G77),"")</f>
        <v/>
      </c>
      <c r="G77" s="37"/>
      <c r="H77" s="91" t="str">
        <f aca="false" t="array" ref="H77:H77">IFERROR(IF(D77="","",INDEX('TABLERO DCA'!$K$8:$K$107,MATCH(9.99E+307,'TABLERO DCA'!$K$8:$K$107,1))),"")</f>
        <v/>
      </c>
      <c r="I77" s="34" t="str">
        <f aca="false">IFERROR(IF(D77="","",(E77-H77)*D77),"")</f>
        <v/>
      </c>
      <c r="J77" s="94" t="str">
        <f aca="false">IFERROR(IF(I77="","",I77-G77),"")</f>
        <v/>
      </c>
      <c r="K77" s="95" t="str">
        <f aca="false">IFERROR(IF(J77="","",J77/(H77*D77)),"")</f>
        <v/>
      </c>
      <c r="L77" s="2"/>
      <c r="M77" s="2"/>
      <c r="N77" s="2"/>
      <c r="O77" s="2"/>
      <c r="P77" s="2"/>
    </row>
    <row r="78" customFormat="false" ht="21.75" hidden="false" customHeight="true" outlineLevel="0" collapsed="false">
      <c r="A78" s="2"/>
      <c r="B78" s="20"/>
      <c r="C78" s="89"/>
      <c r="D78" s="28"/>
      <c r="E78" s="24"/>
      <c r="F78" s="90" t="str">
        <f aca="false">IFERROR(IF(D78="","",D78*E78-G78),"")</f>
        <v/>
      </c>
      <c r="G78" s="26"/>
      <c r="H78" s="91" t="str">
        <f aca="false" t="array" ref="H78:H78">IFERROR(IF(D78="","",INDEX('TABLERO DCA'!$K$8:$K$107,MATCH(9.99E+307,'TABLERO DCA'!$K$8:$K$107,1))),"")</f>
        <v/>
      </c>
      <c r="I78" s="27" t="str">
        <f aca="false">IFERROR(IF(D78="","",(E78-H78)*D78),"")</f>
        <v/>
      </c>
      <c r="J78" s="90" t="str">
        <f aca="false">IFERROR(IF(I78="","",I78-G78),"")</f>
        <v/>
      </c>
      <c r="K78" s="92" t="str">
        <f aca="false">IFERROR(IF(J78="","",J78/(H78*D78)),"")</f>
        <v/>
      </c>
      <c r="L78" s="2"/>
      <c r="M78" s="2"/>
      <c r="N78" s="2"/>
      <c r="O78" s="2"/>
      <c r="P78" s="2"/>
    </row>
    <row r="79" customFormat="false" ht="21.75" hidden="false" customHeight="true" outlineLevel="0" collapsed="false">
      <c r="A79" s="2"/>
      <c r="B79" s="38"/>
      <c r="C79" s="93"/>
      <c r="D79" s="35"/>
      <c r="E79" s="32"/>
      <c r="F79" s="94" t="str">
        <f aca="false">IFERROR(IF(D79="","",D79*E79-G79),"")</f>
        <v/>
      </c>
      <c r="G79" s="37"/>
      <c r="H79" s="91" t="str">
        <f aca="false" t="array" ref="H79:H79">IFERROR(IF(D79="","",INDEX('TABLERO DCA'!$K$8:$K$107,MATCH(9.99E+307,'TABLERO DCA'!$K$8:$K$107,1))),"")</f>
        <v/>
      </c>
      <c r="I79" s="34" t="str">
        <f aca="false">IFERROR(IF(D79="","",(E79-H79)*D79),"")</f>
        <v/>
      </c>
      <c r="J79" s="94" t="str">
        <f aca="false">IFERROR(IF(I79="","",I79-G79),"")</f>
        <v/>
      </c>
      <c r="K79" s="95" t="str">
        <f aca="false">IFERROR(IF(J79="","",J79/(H79*D79)),"")</f>
        <v/>
      </c>
      <c r="L79" s="2"/>
      <c r="M79" s="2"/>
      <c r="N79" s="2"/>
      <c r="O79" s="2"/>
      <c r="P79" s="2"/>
    </row>
    <row r="80" customFormat="false" ht="21.75" hidden="false" customHeight="true" outlineLevel="0" collapsed="false">
      <c r="A80" s="2"/>
      <c r="B80" s="20"/>
      <c r="C80" s="89"/>
      <c r="D80" s="28"/>
      <c r="E80" s="24"/>
      <c r="F80" s="90" t="str">
        <f aca="false">IFERROR(IF(D80="","",D80*E80-G80),"")</f>
        <v/>
      </c>
      <c r="G80" s="26"/>
      <c r="H80" s="91" t="str">
        <f aca="false" t="array" ref="H80:H80">IFERROR(IF(D80="","",INDEX('TABLERO DCA'!$K$8:$K$107,MATCH(9.99E+307,'TABLERO DCA'!$K$8:$K$107,1))),"")</f>
        <v/>
      </c>
      <c r="I80" s="27" t="str">
        <f aca="false">IFERROR(IF(D80="","",(E80-H80)*D80),"")</f>
        <v/>
      </c>
      <c r="J80" s="90" t="str">
        <f aca="false">IFERROR(IF(I80="","",I80-G80),"")</f>
        <v/>
      </c>
      <c r="K80" s="92" t="str">
        <f aca="false">IFERROR(IF(J80="","",J80/(H80*D80)),"")</f>
        <v/>
      </c>
      <c r="L80" s="2"/>
      <c r="M80" s="2"/>
      <c r="N80" s="2"/>
      <c r="O80" s="2"/>
      <c r="P80" s="2"/>
    </row>
    <row r="81" customFormat="false" ht="21.75" hidden="false" customHeight="true" outlineLevel="0" collapsed="false">
      <c r="A81" s="2"/>
      <c r="B81" s="38"/>
      <c r="C81" s="93"/>
      <c r="D81" s="35"/>
      <c r="E81" s="32"/>
      <c r="F81" s="94" t="str">
        <f aca="false">IFERROR(IF(D81="","",D81*E81-G81),"")</f>
        <v/>
      </c>
      <c r="G81" s="37"/>
      <c r="H81" s="91" t="str">
        <f aca="false" t="array" ref="H81:H81">IFERROR(IF(D81="","",INDEX('TABLERO DCA'!$K$8:$K$107,MATCH(9.99E+307,'TABLERO DCA'!$K$8:$K$107,1))),"")</f>
        <v/>
      </c>
      <c r="I81" s="34" t="str">
        <f aca="false">IFERROR(IF(D81="","",(E81-H81)*D81),"")</f>
        <v/>
      </c>
      <c r="J81" s="94" t="str">
        <f aca="false">IFERROR(IF(I81="","",I81-G81),"")</f>
        <v/>
      </c>
      <c r="K81" s="95" t="str">
        <f aca="false">IFERROR(IF(J81="","",J81/(H81*D81)),"")</f>
        <v/>
      </c>
      <c r="L81" s="2"/>
      <c r="M81" s="2"/>
      <c r="N81" s="2"/>
      <c r="O81" s="2"/>
      <c r="P81" s="2"/>
    </row>
    <row r="82" customFormat="false" ht="21.75" hidden="false" customHeight="true" outlineLevel="0" collapsed="false">
      <c r="A82" s="2"/>
      <c r="B82" s="20"/>
      <c r="C82" s="89"/>
      <c r="D82" s="28"/>
      <c r="E82" s="24"/>
      <c r="F82" s="90" t="str">
        <f aca="false">IFERROR(IF(D82="","",D82*E82-G82),"")</f>
        <v/>
      </c>
      <c r="G82" s="26"/>
      <c r="H82" s="91" t="str">
        <f aca="false" t="array" ref="H82:H82">IFERROR(IF(D82="","",INDEX('TABLERO DCA'!$K$8:$K$107,MATCH(9.99E+307,'TABLERO DCA'!$K$8:$K$107,1))),"")</f>
        <v/>
      </c>
      <c r="I82" s="27" t="str">
        <f aca="false">IFERROR(IF(D82="","",(E82-H82)*D82),"")</f>
        <v/>
      </c>
      <c r="J82" s="90" t="str">
        <f aca="false">IFERROR(IF(I82="","",I82-G82),"")</f>
        <v/>
      </c>
      <c r="K82" s="92" t="str">
        <f aca="false">IFERROR(IF(J82="","",J82/(H82*D82)),"")</f>
        <v/>
      </c>
      <c r="L82" s="2"/>
      <c r="M82" s="2"/>
      <c r="N82" s="2"/>
      <c r="O82" s="2"/>
      <c r="P82" s="2"/>
    </row>
    <row r="83" customFormat="false" ht="21.75" hidden="false" customHeight="true" outlineLevel="0" collapsed="false">
      <c r="A83" s="2"/>
      <c r="B83" s="38"/>
      <c r="C83" s="93"/>
      <c r="D83" s="35"/>
      <c r="E83" s="32"/>
      <c r="F83" s="94" t="str">
        <f aca="false">IFERROR(IF(D83="","",D83*E83-G83),"")</f>
        <v/>
      </c>
      <c r="G83" s="37"/>
      <c r="H83" s="91" t="str">
        <f aca="false" t="array" ref="H83:H83">IFERROR(IF(D83="","",INDEX('TABLERO DCA'!$K$8:$K$107,MATCH(9.99E+307,'TABLERO DCA'!$K$8:$K$107,1))),"")</f>
        <v/>
      </c>
      <c r="I83" s="34" t="str">
        <f aca="false">IFERROR(IF(D83="","",(E83-H83)*D83),"")</f>
        <v/>
      </c>
      <c r="J83" s="94" t="str">
        <f aca="false">IFERROR(IF(I83="","",I83-G83),"")</f>
        <v/>
      </c>
      <c r="K83" s="95" t="str">
        <f aca="false">IFERROR(IF(J83="","",J83/(H83*D83)),"")</f>
        <v/>
      </c>
      <c r="L83" s="2"/>
      <c r="M83" s="2"/>
      <c r="N83" s="2"/>
      <c r="O83" s="2"/>
      <c r="P83" s="2"/>
    </row>
    <row r="84" customFormat="false" ht="21.75" hidden="false" customHeight="true" outlineLevel="0" collapsed="false">
      <c r="A84" s="2"/>
      <c r="B84" s="20"/>
      <c r="C84" s="89"/>
      <c r="D84" s="28"/>
      <c r="E84" s="24"/>
      <c r="F84" s="90" t="str">
        <f aca="false">IFERROR(IF(D84="","",D84*E84-G84),"")</f>
        <v/>
      </c>
      <c r="G84" s="26"/>
      <c r="H84" s="91" t="str">
        <f aca="false" t="array" ref="H84:H84">IFERROR(IF(D84="","",INDEX('TABLERO DCA'!$K$8:$K$107,MATCH(9.99E+307,'TABLERO DCA'!$K$8:$K$107,1))),"")</f>
        <v/>
      </c>
      <c r="I84" s="27" t="str">
        <f aca="false">IFERROR(IF(D84="","",(E84-H84)*D84),"")</f>
        <v/>
      </c>
      <c r="J84" s="90" t="str">
        <f aca="false">IFERROR(IF(I84="","",I84-G84),"")</f>
        <v/>
      </c>
      <c r="K84" s="92" t="str">
        <f aca="false">IFERROR(IF(J84="","",J84/(H84*D84)),"")</f>
        <v/>
      </c>
      <c r="L84" s="2"/>
      <c r="M84" s="2"/>
      <c r="N84" s="2"/>
      <c r="O84" s="2"/>
      <c r="P84" s="2"/>
    </row>
    <row r="85" customFormat="false" ht="21.75" hidden="false" customHeight="true" outlineLevel="0" collapsed="false">
      <c r="A85" s="2"/>
      <c r="B85" s="38"/>
      <c r="C85" s="93"/>
      <c r="D85" s="35"/>
      <c r="E85" s="32"/>
      <c r="F85" s="94" t="str">
        <f aca="false">IFERROR(IF(D85="","",D85*E85-G85),"")</f>
        <v/>
      </c>
      <c r="G85" s="37"/>
      <c r="H85" s="91" t="str">
        <f aca="false" t="array" ref="H85:H85">IFERROR(IF(D85="","",INDEX('TABLERO DCA'!$K$8:$K$107,MATCH(9.99E+307,'TABLERO DCA'!$K$8:$K$107,1))),"")</f>
        <v/>
      </c>
      <c r="I85" s="34" t="str">
        <f aca="false">IFERROR(IF(D85="","",(E85-H85)*D85),"")</f>
        <v/>
      </c>
      <c r="J85" s="94" t="str">
        <f aca="false">IFERROR(IF(I85="","",I85-G85),"")</f>
        <v/>
      </c>
      <c r="K85" s="95" t="str">
        <f aca="false">IFERROR(IF(J85="","",J85/(H85*D85)),"")</f>
        <v/>
      </c>
      <c r="L85" s="2"/>
      <c r="M85" s="2"/>
      <c r="N85" s="2"/>
      <c r="O85" s="2"/>
      <c r="P85" s="2"/>
    </row>
    <row r="86" customFormat="false" ht="21.75" hidden="false" customHeight="true" outlineLevel="0" collapsed="false">
      <c r="A86" s="2"/>
      <c r="B86" s="20"/>
      <c r="C86" s="89"/>
      <c r="D86" s="28"/>
      <c r="E86" s="24"/>
      <c r="F86" s="90" t="str">
        <f aca="false">IFERROR(IF(D86="","",D86*E86-G86),"")</f>
        <v/>
      </c>
      <c r="G86" s="26"/>
      <c r="H86" s="91" t="str">
        <f aca="false" t="array" ref="H86:H86">IFERROR(IF(D86="","",INDEX('TABLERO DCA'!$K$8:$K$107,MATCH(9.99E+307,'TABLERO DCA'!$K$8:$K$107,1))),"")</f>
        <v/>
      </c>
      <c r="I86" s="27" t="str">
        <f aca="false">IFERROR(IF(D86="","",(E86-H86)*D86),"")</f>
        <v/>
      </c>
      <c r="J86" s="90" t="str">
        <f aca="false">IFERROR(IF(I86="","",I86-G86),"")</f>
        <v/>
      </c>
      <c r="K86" s="92" t="str">
        <f aca="false">IFERROR(IF(J86="","",J86/(H86*D86)),"")</f>
        <v/>
      </c>
      <c r="L86" s="2"/>
      <c r="M86" s="2"/>
      <c r="N86" s="2"/>
      <c r="O86" s="2"/>
      <c r="P86" s="2"/>
    </row>
    <row r="87" customFormat="false" ht="21.75" hidden="false" customHeight="true" outlineLevel="0" collapsed="false">
      <c r="A87" s="2"/>
      <c r="B87" s="38"/>
      <c r="C87" s="93"/>
      <c r="D87" s="35"/>
      <c r="E87" s="32"/>
      <c r="F87" s="94" t="str">
        <f aca="false">IFERROR(IF(D87="","",D87*E87-G87),"")</f>
        <v/>
      </c>
      <c r="G87" s="37"/>
      <c r="H87" s="91" t="str">
        <f aca="false" t="array" ref="H87:H87">IFERROR(IF(D87="","",INDEX('TABLERO DCA'!$K$8:$K$107,MATCH(9.99E+307,'TABLERO DCA'!$K$8:$K$107,1))),"")</f>
        <v/>
      </c>
      <c r="I87" s="34" t="str">
        <f aca="false">IFERROR(IF(D87="","",(E87-H87)*D87),"")</f>
        <v/>
      </c>
      <c r="J87" s="94" t="str">
        <f aca="false">IFERROR(IF(I87="","",I87-G87),"")</f>
        <v/>
      </c>
      <c r="K87" s="95" t="str">
        <f aca="false">IFERROR(IF(J87="","",J87/(H87*D87)),"")</f>
        <v/>
      </c>
      <c r="L87" s="2"/>
      <c r="M87" s="2"/>
      <c r="N87" s="2"/>
      <c r="O87" s="2"/>
      <c r="P87" s="2"/>
    </row>
    <row r="88" customFormat="false" ht="21.75" hidden="false" customHeight="true" outlineLevel="0" collapsed="false">
      <c r="A88" s="2"/>
      <c r="B88" s="20"/>
      <c r="C88" s="89"/>
      <c r="D88" s="28"/>
      <c r="E88" s="24"/>
      <c r="F88" s="90" t="str">
        <f aca="false">IFERROR(IF(D88="","",D88*E88-G88),"")</f>
        <v/>
      </c>
      <c r="G88" s="26"/>
      <c r="H88" s="91" t="str">
        <f aca="false" t="array" ref="H88:H88">IFERROR(IF(D88="","",INDEX('TABLERO DCA'!$K$8:$K$107,MATCH(9.99E+307,'TABLERO DCA'!$K$8:$K$107,1))),"")</f>
        <v/>
      </c>
      <c r="I88" s="27" t="str">
        <f aca="false">IFERROR(IF(D88="","",(E88-H88)*D88),"")</f>
        <v/>
      </c>
      <c r="J88" s="90" t="str">
        <f aca="false">IFERROR(IF(I88="","",I88-G88),"")</f>
        <v/>
      </c>
      <c r="K88" s="92" t="str">
        <f aca="false">IFERROR(IF(J88="","",J88/(H88*D88)),"")</f>
        <v/>
      </c>
      <c r="L88" s="2"/>
      <c r="M88" s="2"/>
      <c r="N88" s="2"/>
      <c r="O88" s="2"/>
      <c r="P88" s="2"/>
    </row>
    <row r="89" customFormat="false" ht="21.75" hidden="false" customHeight="true" outlineLevel="0" collapsed="false">
      <c r="A89" s="2"/>
      <c r="B89" s="38"/>
      <c r="C89" s="93"/>
      <c r="D89" s="35"/>
      <c r="E89" s="32"/>
      <c r="F89" s="94" t="str">
        <f aca="false">IFERROR(IF(D89="","",D89*E89-G89),"")</f>
        <v/>
      </c>
      <c r="G89" s="37"/>
      <c r="H89" s="91" t="str">
        <f aca="false" t="array" ref="H89:H89">IFERROR(IF(D89="","",INDEX('TABLERO DCA'!$K$8:$K$107,MATCH(9.99E+307,'TABLERO DCA'!$K$8:$K$107,1))),"")</f>
        <v/>
      </c>
      <c r="I89" s="34" t="str">
        <f aca="false">IFERROR(IF(D89="","",(E89-H89)*D89),"")</f>
        <v/>
      </c>
      <c r="J89" s="94" t="str">
        <f aca="false">IFERROR(IF(I89="","",I89-G89),"")</f>
        <v/>
      </c>
      <c r="K89" s="95" t="str">
        <f aca="false">IFERROR(IF(J89="","",J89/(H89*D89)),"")</f>
        <v/>
      </c>
      <c r="L89" s="2"/>
      <c r="M89" s="2"/>
      <c r="N89" s="2"/>
      <c r="O89" s="2"/>
      <c r="P89" s="2"/>
    </row>
    <row r="90" customFormat="false" ht="21.75" hidden="false" customHeight="true" outlineLevel="0" collapsed="false">
      <c r="A90" s="2"/>
      <c r="B90" s="20"/>
      <c r="C90" s="89"/>
      <c r="D90" s="28"/>
      <c r="E90" s="24"/>
      <c r="F90" s="90" t="str">
        <f aca="false">IFERROR(IF(D90="","",D90*E90-G90),"")</f>
        <v/>
      </c>
      <c r="G90" s="26"/>
      <c r="H90" s="91" t="str">
        <f aca="false" t="array" ref="H90:H90">IFERROR(IF(D90="","",INDEX('TABLERO DCA'!$K$8:$K$107,MATCH(9.99E+307,'TABLERO DCA'!$K$8:$K$107,1))),"")</f>
        <v/>
      </c>
      <c r="I90" s="27" t="str">
        <f aca="false">IFERROR(IF(D90="","",(E90-H90)*D90),"")</f>
        <v/>
      </c>
      <c r="J90" s="90" t="str">
        <f aca="false">IFERROR(IF(I90="","",I90-G90),"")</f>
        <v/>
      </c>
      <c r="K90" s="92" t="str">
        <f aca="false">IFERROR(IF(J90="","",J90/(H90*D90)),"")</f>
        <v/>
      </c>
      <c r="L90" s="2"/>
      <c r="M90" s="2"/>
      <c r="N90" s="2"/>
      <c r="O90" s="2"/>
      <c r="P90" s="2"/>
    </row>
    <row r="91" customFormat="false" ht="21.75" hidden="false" customHeight="true" outlineLevel="0" collapsed="false">
      <c r="A91" s="2"/>
      <c r="B91" s="38"/>
      <c r="C91" s="93"/>
      <c r="D91" s="35"/>
      <c r="E91" s="32"/>
      <c r="F91" s="94" t="str">
        <f aca="false">IFERROR(IF(D91="","",D91*E91-G91),"")</f>
        <v/>
      </c>
      <c r="G91" s="37"/>
      <c r="H91" s="91" t="str">
        <f aca="false" t="array" ref="H91:H91">IFERROR(IF(D91="","",INDEX('TABLERO DCA'!$K$8:$K$107,MATCH(9.99E+307,'TABLERO DCA'!$K$8:$K$107,1))),"")</f>
        <v/>
      </c>
      <c r="I91" s="34" t="str">
        <f aca="false">IFERROR(IF(D91="","",(E91-H91)*D91),"")</f>
        <v/>
      </c>
      <c r="J91" s="94" t="str">
        <f aca="false">IFERROR(IF(I91="","",I91-G91),"")</f>
        <v/>
      </c>
      <c r="K91" s="95" t="str">
        <f aca="false">IFERROR(IF(J91="","",J91/(H91*D91)),"")</f>
        <v/>
      </c>
      <c r="L91" s="2"/>
      <c r="M91" s="2"/>
      <c r="N91" s="2"/>
      <c r="O91" s="2"/>
      <c r="P91" s="2"/>
    </row>
    <row r="92" customFormat="false" ht="21.75" hidden="false" customHeight="true" outlineLevel="0" collapsed="false">
      <c r="A92" s="2"/>
      <c r="B92" s="20"/>
      <c r="C92" s="89"/>
      <c r="D92" s="28"/>
      <c r="E92" s="24"/>
      <c r="F92" s="90" t="str">
        <f aca="false">IFERROR(IF(D92="","",D92*E92-G92),"")</f>
        <v/>
      </c>
      <c r="G92" s="26"/>
      <c r="H92" s="91" t="str">
        <f aca="false" t="array" ref="H92:H92">IFERROR(IF(D92="","",INDEX('TABLERO DCA'!$K$8:$K$107,MATCH(9.99E+307,'TABLERO DCA'!$K$8:$K$107,1))),"")</f>
        <v/>
      </c>
      <c r="I92" s="27" t="str">
        <f aca="false">IFERROR(IF(D92="","",(E92-H92)*D92),"")</f>
        <v/>
      </c>
      <c r="J92" s="90" t="str">
        <f aca="false">IFERROR(IF(I92="","",I92-G92),"")</f>
        <v/>
      </c>
      <c r="K92" s="92" t="str">
        <f aca="false">IFERROR(IF(J92="","",J92/(H92*D92)),"")</f>
        <v/>
      </c>
      <c r="L92" s="2"/>
      <c r="M92" s="2"/>
      <c r="N92" s="2"/>
      <c r="O92" s="2"/>
      <c r="P92" s="2"/>
    </row>
    <row r="93" customFormat="false" ht="21.75" hidden="false" customHeight="true" outlineLevel="0" collapsed="false">
      <c r="A93" s="2"/>
      <c r="B93" s="38"/>
      <c r="C93" s="93"/>
      <c r="D93" s="35"/>
      <c r="E93" s="32"/>
      <c r="F93" s="94" t="str">
        <f aca="false">IFERROR(IF(D93="","",D93*E93-G93),"")</f>
        <v/>
      </c>
      <c r="G93" s="37"/>
      <c r="H93" s="91" t="str">
        <f aca="false" t="array" ref="H93:H93">IFERROR(IF(D93="","",INDEX('TABLERO DCA'!$K$8:$K$107,MATCH(9.99E+307,'TABLERO DCA'!$K$8:$K$107,1))),"")</f>
        <v/>
      </c>
      <c r="I93" s="34" t="str">
        <f aca="false">IFERROR(IF(D93="","",(E93-H93)*D93),"")</f>
        <v/>
      </c>
      <c r="J93" s="94" t="str">
        <f aca="false">IFERROR(IF(I93="","",I93-G93),"")</f>
        <v/>
      </c>
      <c r="K93" s="95" t="str">
        <f aca="false">IFERROR(IF(J93="","",J93/(H93*D93)),"")</f>
        <v/>
      </c>
      <c r="L93" s="2"/>
      <c r="M93" s="2"/>
      <c r="N93" s="2"/>
      <c r="O93" s="2"/>
      <c r="P93" s="2"/>
    </row>
    <row r="94" customFormat="false" ht="21.75" hidden="false" customHeight="true" outlineLevel="0" collapsed="false">
      <c r="A94" s="2"/>
      <c r="B94" s="20"/>
      <c r="C94" s="89"/>
      <c r="D94" s="28"/>
      <c r="E94" s="24"/>
      <c r="F94" s="90" t="str">
        <f aca="false">IFERROR(IF(D94="","",D94*E94-G94),"")</f>
        <v/>
      </c>
      <c r="G94" s="26"/>
      <c r="H94" s="91" t="str">
        <f aca="false" t="array" ref="H94:H94">IFERROR(IF(D94="","",INDEX('TABLERO DCA'!$K$8:$K$107,MATCH(9.99E+307,'TABLERO DCA'!$K$8:$K$107,1))),"")</f>
        <v/>
      </c>
      <c r="I94" s="27" t="str">
        <f aca="false">IFERROR(IF(D94="","",(E94-H94)*D94),"")</f>
        <v/>
      </c>
      <c r="J94" s="90" t="str">
        <f aca="false">IFERROR(IF(I94="","",I94-G94),"")</f>
        <v/>
      </c>
      <c r="K94" s="92" t="str">
        <f aca="false">IFERROR(IF(J94="","",J94/(H94*D94)),"")</f>
        <v/>
      </c>
      <c r="L94" s="2"/>
      <c r="M94" s="2"/>
      <c r="N94" s="2"/>
      <c r="O94" s="2"/>
      <c r="P94" s="2"/>
    </row>
    <row r="95" customFormat="false" ht="21.75" hidden="false" customHeight="true" outlineLevel="0" collapsed="false">
      <c r="A95" s="2"/>
      <c r="B95" s="38"/>
      <c r="C95" s="93"/>
      <c r="D95" s="35"/>
      <c r="E95" s="32"/>
      <c r="F95" s="94" t="str">
        <f aca="false">IFERROR(IF(D95="","",D95*E95-G95),"")</f>
        <v/>
      </c>
      <c r="G95" s="37"/>
      <c r="H95" s="91" t="str">
        <f aca="false" t="array" ref="H95:H95">IFERROR(IF(D95="","",INDEX('TABLERO DCA'!$K$8:$K$107,MATCH(9.99E+307,'TABLERO DCA'!$K$8:$K$107,1))),"")</f>
        <v/>
      </c>
      <c r="I95" s="34" t="str">
        <f aca="false">IFERROR(IF(D95="","",(E95-H95)*D95),"")</f>
        <v/>
      </c>
      <c r="J95" s="94" t="str">
        <f aca="false">IFERROR(IF(I95="","",I95-G95),"")</f>
        <v/>
      </c>
      <c r="K95" s="95" t="str">
        <f aca="false">IFERROR(IF(J95="","",J95/(H95*D95)),"")</f>
        <v/>
      </c>
      <c r="L95" s="2"/>
      <c r="M95" s="2"/>
      <c r="N95" s="2"/>
      <c r="O95" s="2"/>
      <c r="P95" s="2"/>
    </row>
    <row r="96" customFormat="false" ht="21.75" hidden="false" customHeight="true" outlineLevel="0" collapsed="false">
      <c r="A96" s="2"/>
      <c r="B96" s="20"/>
      <c r="C96" s="89"/>
      <c r="D96" s="28"/>
      <c r="E96" s="24"/>
      <c r="F96" s="90" t="str">
        <f aca="false">IFERROR(IF(D96="","",D96*E96-G96),"")</f>
        <v/>
      </c>
      <c r="G96" s="26"/>
      <c r="H96" s="91" t="str">
        <f aca="false" t="array" ref="H96:H96">IFERROR(IF(D96="","",INDEX('TABLERO DCA'!$K$8:$K$107,MATCH(9.99E+307,'TABLERO DCA'!$K$8:$K$107,1))),"")</f>
        <v/>
      </c>
      <c r="I96" s="27" t="str">
        <f aca="false">IFERROR(IF(D96="","",(E96-H96)*D96),"")</f>
        <v/>
      </c>
      <c r="J96" s="90" t="str">
        <f aca="false">IFERROR(IF(I96="","",I96-G96),"")</f>
        <v/>
      </c>
      <c r="K96" s="92" t="str">
        <f aca="false">IFERROR(IF(J96="","",J96/(H96*D96)),"")</f>
        <v/>
      </c>
      <c r="L96" s="2"/>
      <c r="M96" s="2"/>
      <c r="N96" s="2"/>
      <c r="O96" s="2"/>
      <c r="P96" s="2"/>
    </row>
    <row r="97" customFormat="false" ht="21.75" hidden="false" customHeight="true" outlineLevel="0" collapsed="false">
      <c r="A97" s="2"/>
      <c r="B97" s="38"/>
      <c r="C97" s="93"/>
      <c r="D97" s="35"/>
      <c r="E97" s="32"/>
      <c r="F97" s="94" t="str">
        <f aca="false">IFERROR(IF(D97="","",D97*E97-G97),"")</f>
        <v/>
      </c>
      <c r="G97" s="37"/>
      <c r="H97" s="91" t="str">
        <f aca="false" t="array" ref="H97:H97">IFERROR(IF(D97="","",INDEX('TABLERO DCA'!$K$8:$K$107,MATCH(9.99E+307,'TABLERO DCA'!$K$8:$K$107,1))),"")</f>
        <v/>
      </c>
      <c r="I97" s="34" t="str">
        <f aca="false">IFERROR(IF(D97="","",(E97-H97)*D97),"")</f>
        <v/>
      </c>
      <c r="J97" s="94" t="str">
        <f aca="false">IFERROR(IF(I97="","",I97-G97),"")</f>
        <v/>
      </c>
      <c r="K97" s="95" t="str">
        <f aca="false">IFERROR(IF(J97="","",J97/(H97*D97)),"")</f>
        <v/>
      </c>
      <c r="L97" s="2"/>
      <c r="M97" s="2"/>
      <c r="N97" s="2"/>
      <c r="O97" s="2"/>
      <c r="P97" s="2"/>
    </row>
    <row r="98" customFormat="false" ht="21.75" hidden="false" customHeight="true" outlineLevel="0" collapsed="false">
      <c r="A98" s="2"/>
      <c r="B98" s="20"/>
      <c r="C98" s="89"/>
      <c r="D98" s="28"/>
      <c r="E98" s="24"/>
      <c r="F98" s="90" t="str">
        <f aca="false">IFERROR(IF(D98="","",D98*E98-G98),"")</f>
        <v/>
      </c>
      <c r="G98" s="26"/>
      <c r="H98" s="91" t="str">
        <f aca="false" t="array" ref="H98:H98">IFERROR(IF(D98="","",INDEX('TABLERO DCA'!$K$8:$K$107,MATCH(9.99E+307,'TABLERO DCA'!$K$8:$K$107,1))),"")</f>
        <v/>
      </c>
      <c r="I98" s="27" t="str">
        <f aca="false">IFERROR(IF(D98="","",(E98-H98)*D98),"")</f>
        <v/>
      </c>
      <c r="J98" s="90" t="str">
        <f aca="false">IFERROR(IF(I98="","",I98-G98),"")</f>
        <v/>
      </c>
      <c r="K98" s="92" t="str">
        <f aca="false">IFERROR(IF(J98="","",J98/(H98*D98)),"")</f>
        <v/>
      </c>
      <c r="L98" s="2"/>
      <c r="M98" s="2"/>
      <c r="N98" s="2"/>
      <c r="O98" s="2"/>
      <c r="P98" s="2"/>
    </row>
    <row r="99" customFormat="false" ht="21.75" hidden="false" customHeight="true" outlineLevel="0" collapsed="false">
      <c r="A99" s="2"/>
      <c r="B99" s="38"/>
      <c r="C99" s="93"/>
      <c r="D99" s="35"/>
      <c r="E99" s="32"/>
      <c r="F99" s="94" t="str">
        <f aca="false">IFERROR(IF(D99="","",D99*E99-G99),"")</f>
        <v/>
      </c>
      <c r="G99" s="37"/>
      <c r="H99" s="91" t="str">
        <f aca="false" t="array" ref="H99:H99">IFERROR(IF(D99="","",INDEX('TABLERO DCA'!$K$8:$K$107,MATCH(9.99E+307,'TABLERO DCA'!$K$8:$K$107,1))),"")</f>
        <v/>
      </c>
      <c r="I99" s="34" t="str">
        <f aca="false">IFERROR(IF(D99="","",(E99-H99)*D99),"")</f>
        <v/>
      </c>
      <c r="J99" s="94" t="str">
        <f aca="false">IFERROR(IF(I99="","",I99-G99),"")</f>
        <v/>
      </c>
      <c r="K99" s="95" t="str">
        <f aca="false">IFERROR(IF(J99="","",J99/(H99*D99)),"")</f>
        <v/>
      </c>
      <c r="L99" s="2"/>
      <c r="M99" s="2"/>
      <c r="N99" s="2"/>
      <c r="O99" s="2"/>
      <c r="P99" s="2"/>
    </row>
    <row r="100" customFormat="false" ht="21.75" hidden="false" customHeight="true" outlineLevel="0" collapsed="false">
      <c r="A100" s="2"/>
      <c r="B100" s="20"/>
      <c r="C100" s="89"/>
      <c r="D100" s="28"/>
      <c r="E100" s="24"/>
      <c r="F100" s="90" t="str">
        <f aca="false">IFERROR(IF(D100="","",D100*E100-G100),"")</f>
        <v/>
      </c>
      <c r="G100" s="26"/>
      <c r="H100" s="91" t="str">
        <f aca="false" t="array" ref="H100:H100">IFERROR(IF(D100="","",INDEX('TABLERO DCA'!$K$8:$K$107,MATCH(9.99E+307,'TABLERO DCA'!$K$8:$K$107,1))),"")</f>
        <v/>
      </c>
      <c r="I100" s="27" t="str">
        <f aca="false">IFERROR(IF(D100="","",(E100-H100)*D100),"")</f>
        <v/>
      </c>
      <c r="J100" s="90" t="str">
        <f aca="false">IFERROR(IF(I100="","",I100-G100),"")</f>
        <v/>
      </c>
      <c r="K100" s="92" t="str">
        <f aca="false">IFERROR(IF(J100="","",J100/(H100*D100)),"")</f>
        <v/>
      </c>
      <c r="L100" s="2"/>
      <c r="M100" s="2"/>
      <c r="N100" s="2"/>
      <c r="O100" s="2"/>
      <c r="P100" s="2"/>
    </row>
    <row r="101" customFormat="false" ht="21.75" hidden="false" customHeight="true" outlineLevel="0" collapsed="false">
      <c r="A101" s="2"/>
      <c r="B101" s="38"/>
      <c r="C101" s="93"/>
      <c r="D101" s="35"/>
      <c r="E101" s="32"/>
      <c r="F101" s="94" t="str">
        <f aca="false">IFERROR(IF(D101="","",D101*E101-G101),"")</f>
        <v/>
      </c>
      <c r="G101" s="37"/>
      <c r="H101" s="91" t="str">
        <f aca="false" t="array" ref="H101:H101">IFERROR(IF(D101="","",INDEX('TABLERO DCA'!$K$8:$K$107,MATCH(9.99E+307,'TABLERO DCA'!$K$8:$K$107,1))),"")</f>
        <v/>
      </c>
      <c r="I101" s="34" t="str">
        <f aca="false">IFERROR(IF(D101="","",(E101-H101)*D101),"")</f>
        <v/>
      </c>
      <c r="J101" s="94" t="str">
        <f aca="false">IFERROR(IF(I101="","",I101-G101),"")</f>
        <v/>
      </c>
      <c r="K101" s="95" t="str">
        <f aca="false">IFERROR(IF(J101="","",J101/(H101*D101)),"")</f>
        <v/>
      </c>
      <c r="L101" s="2"/>
      <c r="M101" s="2"/>
      <c r="N101" s="2"/>
      <c r="O101" s="2"/>
      <c r="P101" s="2"/>
    </row>
    <row r="102" customFormat="false" ht="21.75" hidden="false" customHeight="true" outlineLevel="0" collapsed="false">
      <c r="A102" s="2"/>
      <c r="B102" s="20"/>
      <c r="C102" s="89"/>
      <c r="D102" s="28"/>
      <c r="E102" s="24"/>
      <c r="F102" s="90" t="str">
        <f aca="false">IFERROR(IF(D102="","",D102*E102-G102),"")</f>
        <v/>
      </c>
      <c r="G102" s="26"/>
      <c r="H102" s="91" t="str">
        <f aca="false" t="array" ref="H102:H102">IFERROR(IF(D102="","",INDEX('TABLERO DCA'!$K$8:$K$107,MATCH(9.99E+307,'TABLERO DCA'!$K$8:$K$107,1))),"")</f>
        <v/>
      </c>
      <c r="I102" s="27" t="str">
        <f aca="false">IFERROR(IF(D102="","",(E102-H102)*D102),"")</f>
        <v/>
      </c>
      <c r="J102" s="90" t="str">
        <f aca="false">IFERROR(IF(I102="","",I102-G102),"")</f>
        <v/>
      </c>
      <c r="K102" s="92" t="str">
        <f aca="false">IFERROR(IF(J102="","",J102/(H102*D102)),"")</f>
        <v/>
      </c>
      <c r="L102" s="2"/>
      <c r="M102" s="2"/>
      <c r="N102" s="2"/>
      <c r="O102" s="2"/>
      <c r="P102" s="2"/>
    </row>
    <row r="103" customFormat="false" ht="21.75" hidden="false" customHeight="true" outlineLevel="0" collapsed="false">
      <c r="A103" s="2"/>
      <c r="B103" s="38"/>
      <c r="C103" s="93"/>
      <c r="D103" s="35"/>
      <c r="E103" s="32"/>
      <c r="F103" s="94" t="str">
        <f aca="false">IFERROR(IF(D103="","",D103*E103-G103),"")</f>
        <v/>
      </c>
      <c r="G103" s="37"/>
      <c r="H103" s="91" t="str">
        <f aca="false" t="array" ref="H103:H103">IFERROR(IF(D103="","",INDEX('TABLERO DCA'!$K$8:$K$107,MATCH(9.99E+307,'TABLERO DCA'!$K$8:$K$107,1))),"")</f>
        <v/>
      </c>
      <c r="I103" s="34" t="str">
        <f aca="false">IFERROR(IF(D103="","",(E103-H103)*D103),"")</f>
        <v/>
      </c>
      <c r="J103" s="94" t="str">
        <f aca="false">IFERROR(IF(I103="","",I103-G103),"")</f>
        <v/>
      </c>
      <c r="K103" s="95" t="str">
        <f aca="false">IFERROR(IF(J103="","",J103/(H103*D103)),"")</f>
        <v/>
      </c>
      <c r="L103" s="2"/>
      <c r="M103" s="2"/>
      <c r="N103" s="2"/>
      <c r="O103" s="2"/>
      <c r="P103" s="2"/>
    </row>
    <row r="104" customFormat="false" ht="21.75" hidden="false" customHeight="true" outlineLevel="0" collapsed="false">
      <c r="A104" s="2"/>
      <c r="B104" s="20"/>
      <c r="C104" s="89"/>
      <c r="D104" s="28"/>
      <c r="E104" s="24"/>
      <c r="F104" s="90" t="str">
        <f aca="false">IFERROR(IF(D104="","",D104*E104-G104),"")</f>
        <v/>
      </c>
      <c r="G104" s="26"/>
      <c r="H104" s="91" t="str">
        <f aca="false" t="array" ref="H104:H104">IFERROR(IF(D104="","",INDEX('TABLERO DCA'!$K$8:$K$107,MATCH(9.99E+307,'TABLERO DCA'!$K$8:$K$107,1))),"")</f>
        <v/>
      </c>
      <c r="I104" s="27" t="str">
        <f aca="false">IFERROR(IF(D104="","",(E104-H104)*D104),"")</f>
        <v/>
      </c>
      <c r="J104" s="90" t="str">
        <f aca="false">IFERROR(IF(I104="","",I104-G104),"")</f>
        <v/>
      </c>
      <c r="K104" s="92" t="str">
        <f aca="false">IFERROR(IF(J104="","",J104/(H104*D104)),"")</f>
        <v/>
      </c>
      <c r="L104" s="2"/>
      <c r="M104" s="2"/>
      <c r="N104" s="2"/>
      <c r="O104" s="2"/>
      <c r="P104" s="2"/>
    </row>
    <row r="105" customFormat="false" ht="21.75" hidden="false" customHeight="true" outlineLevel="0" collapsed="false">
      <c r="A105" s="2"/>
      <c r="B105" s="38"/>
      <c r="C105" s="93"/>
      <c r="D105" s="35"/>
      <c r="E105" s="32"/>
      <c r="F105" s="94" t="str">
        <f aca="false">IFERROR(IF(D105="","",D105*E105-G105),"")</f>
        <v/>
      </c>
      <c r="G105" s="37"/>
      <c r="H105" s="91" t="str">
        <f aca="false" t="array" ref="H105:H105">IFERROR(IF(D105="","",INDEX('TABLERO DCA'!$K$8:$K$107,MATCH(9.99E+307,'TABLERO DCA'!$K$8:$K$107,1))),"")</f>
        <v/>
      </c>
      <c r="I105" s="34" t="str">
        <f aca="false">IFERROR(IF(D105="","",(E105-H105)*D105),"")</f>
        <v/>
      </c>
      <c r="J105" s="94" t="str">
        <f aca="false">IFERROR(IF(I105="","",I105-G105),"")</f>
        <v/>
      </c>
      <c r="K105" s="95" t="str">
        <f aca="false">IFERROR(IF(J105="","",J105/(H105*D105)),"")</f>
        <v/>
      </c>
      <c r="L105" s="2"/>
      <c r="M105" s="2"/>
      <c r="N105" s="2"/>
      <c r="O105" s="2"/>
      <c r="P105" s="2"/>
    </row>
    <row r="106" customFormat="false" ht="21.75" hidden="false" customHeight="true" outlineLevel="0" collapsed="false">
      <c r="A106" s="2"/>
      <c r="B106" s="20"/>
      <c r="C106" s="89"/>
      <c r="D106" s="28"/>
      <c r="E106" s="24"/>
      <c r="F106" s="90" t="str">
        <f aca="false">IFERROR(IF(D106="","",D106*E106-G106),"")</f>
        <v/>
      </c>
      <c r="G106" s="26"/>
      <c r="H106" s="91" t="str">
        <f aca="false" t="array" ref="H106:H106">IFERROR(IF(D106="","",INDEX('TABLERO DCA'!$K$8:$K$107,MATCH(9.99E+307,'TABLERO DCA'!$K$8:$K$107,1))),"")</f>
        <v/>
      </c>
      <c r="I106" s="27" t="str">
        <f aca="false">IFERROR(IF(D106="","",(E106-H106)*D106),"")</f>
        <v/>
      </c>
      <c r="J106" s="90" t="str">
        <f aca="false">IFERROR(IF(I106="","",I106-G106),"")</f>
        <v/>
      </c>
      <c r="K106" s="92" t="str">
        <f aca="false">IFERROR(IF(J106="","",J106/(H106*D106)),"")</f>
        <v/>
      </c>
      <c r="L106" s="2"/>
      <c r="M106" s="2"/>
      <c r="N106" s="2"/>
      <c r="O106" s="2"/>
      <c r="P106" s="2"/>
    </row>
    <row r="107" customFormat="false" ht="21.75" hidden="false" customHeight="true" outlineLevel="0" collapsed="false">
      <c r="A107" s="2"/>
      <c r="B107" s="38"/>
      <c r="C107" s="93"/>
      <c r="D107" s="35"/>
      <c r="E107" s="32"/>
      <c r="F107" s="94" t="str">
        <f aca="false">IFERROR(IF(D107="","",D107*E107-G107),"")</f>
        <v/>
      </c>
      <c r="G107" s="37"/>
      <c r="H107" s="91" t="str">
        <f aca="false" t="array" ref="H107:H107">IFERROR(IF(D107="","",INDEX('TABLERO DCA'!$K$8:$K$107,MATCH(9.99E+307,'TABLERO DCA'!$K$8:$K$107,1))),"")</f>
        <v/>
      </c>
      <c r="I107" s="34" t="str">
        <f aca="false">IFERROR(IF(D107="","",(E107-H107)*D107),"")</f>
        <v/>
      </c>
      <c r="J107" s="94" t="str">
        <f aca="false">IFERROR(IF(I107="","",I107-G107),"")</f>
        <v/>
      </c>
      <c r="K107" s="95" t="str">
        <f aca="false">IFERROR(IF(J107="","",J107/(H107*D107)),"")</f>
        <v/>
      </c>
      <c r="L107" s="2"/>
      <c r="M107" s="2"/>
      <c r="N107" s="2"/>
      <c r="O107" s="2"/>
      <c r="P107" s="2"/>
    </row>
    <row r="108" customFormat="false" ht="19.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customFormat="false" ht="15" hidden="false" customHeight="true" outlineLevel="0" collapsed="false">
      <c r="A109" s="2"/>
      <c r="B109" s="40" t="s">
        <v>98</v>
      </c>
      <c r="C109" s="40"/>
      <c r="D109" s="40"/>
      <c r="E109" s="40"/>
      <c r="F109" s="40"/>
      <c r="G109" s="40"/>
      <c r="H109" s="40"/>
      <c r="I109" s="40"/>
      <c r="J109" s="40"/>
      <c r="K109" s="40"/>
      <c r="L109" s="2"/>
      <c r="M109" s="2"/>
      <c r="N109" s="2"/>
      <c r="O109" s="2"/>
      <c r="P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4">
    <mergeCell ref="B2:K2"/>
    <mergeCell ref="B3:K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6:K6"/>
    <mergeCell ref="B109:K109"/>
  </mergeCells>
  <conditionalFormatting sqref="K8:K107">
    <cfRule type="expression" priority="2" aboveAverage="0" equalAverage="0" bottom="0" percent="0" rank="0" text="" dxfId="0">
      <formula>K8&gt;0.3</formula>
    </cfRule>
    <cfRule type="expression" priority="3" aboveAverage="0" equalAverage="0" bottom="0" percent="0" rank="0" text="" dxfId="2">
      <formula>AND(K8&gt;=0,K8&lt;=0.3)</formula>
    </cfRule>
    <cfRule type="expression" priority="4" aboveAverage="0" equalAverage="0" bottom="0" percent="0" rank="0" text="" dxfId="4">
      <formula>K8&lt;0</formula>
    </cfRule>
  </conditionalFormatting>
  <conditionalFormatting sqref="J8:J107">
    <cfRule type="expression" priority="5" aboveAverage="0" equalAverage="0" bottom="0" percent="0" rank="0" text="" dxfId="5">
      <formula>J8&gt;0</formula>
    </cfRule>
    <cfRule type="expression" priority="6" aboveAverage="0" equalAverage="0" bottom="0" percent="0" rank="0" text="" dxfId="6">
      <formula>J8&lt;0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2026-05-03T19:16:49Z</dcterms:created>
  <dc:creator>openpyxl</dc:creator>
  <dc:description/>
  <dc:language>en-US</dc:language>
  <cp:lastModifiedBy/>
  <dcterms:modified xsi:type="dcterms:W3CDTF">2026-05-03T19:23:34Z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